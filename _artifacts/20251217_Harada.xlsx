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olt\Downloads\"/>
    </mc:Choice>
  </mc:AlternateContent>
  <xr:revisionPtr revIDLastSave="0" documentId="13_ncr:1_{FA46151A-E546-42D6-8B7C-9D854A4957B4}" xr6:coauthVersionLast="47" xr6:coauthVersionMax="47" xr10:uidLastSave="{00000000-0000-0000-0000-000000000000}"/>
  <bookViews>
    <workbookView xWindow="0" yWindow="360" windowWidth="29040" windowHeight="17520" xr2:uid="{70F40ADE-172A-4541-A685-B79ABA090A1B}"/>
  </bookViews>
  <sheets>
    <sheet name="Sheet One - Questionnaire" sheetId="1" r:id="rId1"/>
    <sheet name="Sheet Two - Scoring" sheetId="2" r:id="rId2"/>
    <sheet name="Sheet Three - Long Term Goals" sheetId="4" r:id="rId3"/>
    <sheet name="Sheet Four - 64-Window" sheetId="3" r:id="rId4"/>
    <sheet name="Sheet Five - Routine Check" sheetId="5" r:id="rId5"/>
    <sheet name="Sheet Six - Daily Di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4" i="5"/>
  <c r="F5" i="5"/>
  <c r="F6" i="5"/>
  <c r="F7" i="5"/>
  <c r="F8" i="5"/>
  <c r="F9" i="5"/>
  <c r="F10" i="5"/>
  <c r="F11" i="5"/>
  <c r="F12" i="5"/>
  <c r="F13" i="5"/>
  <c r="F14" i="5"/>
  <c r="F15" i="5"/>
  <c r="F4" i="5"/>
  <c r="G33" i="6"/>
  <c r="C6" i="2" l="1"/>
  <c r="C7" i="2"/>
  <c r="C8" i="2"/>
  <c r="C9" i="2"/>
  <c r="C10" i="2"/>
  <c r="C11" i="2"/>
  <c r="C12" i="2"/>
  <c r="C13" i="2"/>
  <c r="C14" i="2"/>
  <c r="C15" i="2"/>
  <c r="C16" i="2"/>
  <c r="C5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5" i="1"/>
  <c r="D4" i="1"/>
</calcChain>
</file>

<file path=xl/sharedStrings.xml><?xml version="1.0" encoding="utf-8"?>
<sst xmlns="http://schemas.openxmlformats.org/spreadsheetml/2006/main" count="161" uniqueCount="148">
  <si>
    <t>1. Always have a grasp of my day's schedule in advance.</t>
  </si>
  <si>
    <t>2. Understand my advantages and strengths well.</t>
  </si>
  <si>
    <t xml:space="preserve">3. Make a concrete image of negotiations and meetings before I get into them. </t>
  </si>
  <si>
    <t xml:space="preserve">4. Have a grasp of the current situation and the issues related to it. </t>
  </si>
  <si>
    <t xml:space="preserve">5. Willing to tackle a difficult task without giving up before attempting it. </t>
  </si>
  <si>
    <t xml:space="preserve">6. Like to create a new plan or an idea for new products. </t>
  </si>
  <si>
    <t xml:space="preserve">7. Express my gratitude immediately after someone helped me. </t>
  </si>
  <si>
    <t>8. Treat people fairly regarless of their nationality, gender, age and status.</t>
  </si>
  <si>
    <t xml:space="preserve">9. Able to change my focus rather rapidly in a positive way. </t>
  </si>
  <si>
    <t xml:space="preserve">10. Well aware of my colleagues' and subordinates' wishes and provide them encouragement. </t>
  </si>
  <si>
    <t xml:space="preserve">11. Able to make a bold decision even in an important work situation. </t>
  </si>
  <si>
    <t xml:space="preserve">12. When consulted, I listen to the individual silently at first. </t>
  </si>
  <si>
    <t xml:space="preserve">13. Before tackling my work, I always set concrete goals. </t>
  </si>
  <si>
    <t xml:space="preserve">14. Have my own knacks of how to do things well. </t>
  </si>
  <si>
    <t xml:space="preserve">15. Keep a journal and think ahead my plan fo rthe next day's time management and actions. </t>
  </si>
  <si>
    <t xml:space="preserve">16. Take a problem as an opportunity for improvement and growth rather than grievance. </t>
  </si>
  <si>
    <t xml:space="preserve">17. Contemplating the purpose of my work motivates me. </t>
  </si>
  <si>
    <t>18. My principle is to work on a new idea first, rather than maintaining the status quo.</t>
  </si>
  <si>
    <t xml:space="preserve">19. Highly conscious of company rules and compliance and adherence to them. </t>
  </si>
  <si>
    <t>20. Good at rationally explaining things to others and asking their cooperation.</t>
  </si>
  <si>
    <t xml:space="preserve">21. Practice being punctual, courteous and keeping my area neat. </t>
  </si>
  <si>
    <t xml:space="preserve">22. In achieving a goal, I speak and behave encouragingly for individuals and organizations. </t>
  </si>
  <si>
    <t xml:space="preserve">23. Ensure my coworkers and subordinates all follow the rules. </t>
  </si>
  <si>
    <t xml:space="preserve">24. Communicate and listen to others irrespective of the medium. </t>
  </si>
  <si>
    <t xml:space="preserve">25. Predict possible future problems and devise countermeasures beforehand. </t>
  </si>
  <si>
    <t xml:space="preserve">26. Understand my tendencies when I do not feel well. </t>
  </si>
  <si>
    <t xml:space="preserve">27. Formulate and contemplate hypotheses on the future of society and the marketplace. </t>
  </si>
  <si>
    <t xml:space="preserve">28. In solving problems before me, I can learn and apply others' successful practices. </t>
  </si>
  <si>
    <t xml:space="preserve">29. Have my own words and methods to evaluate my motivation. </t>
  </si>
  <si>
    <t xml:space="preserve">30. In carrying out a project, I envision a successful image in my mind. </t>
  </si>
  <si>
    <t xml:space="preserve">31. Engage in volunteer activities. </t>
  </si>
  <si>
    <t xml:space="preserve">32. Considering others' personalities, I am intentional in how I speak and present myself as an advisor. </t>
  </si>
  <si>
    <t xml:space="preserve">33. Incorporate exercises into my routines to maintain my health. </t>
  </si>
  <si>
    <t xml:space="preserve">34. I guide those who have failed effectively so as to utilize their experience next time. </t>
  </si>
  <si>
    <t xml:space="preserve">35. Take the lead in advancing the organization's goals. </t>
  </si>
  <si>
    <t xml:space="preserve">36. Listen consciously and intentionally with eye contact, nodding and understanding. </t>
  </si>
  <si>
    <t>Question</t>
  </si>
  <si>
    <t>Harada Method Questionnaire [Step One]</t>
  </si>
  <si>
    <t>Score (1-5)</t>
  </si>
  <si>
    <t>Questions</t>
  </si>
  <si>
    <t>1, 13, 25</t>
  </si>
  <si>
    <t>2, 14, 26</t>
  </si>
  <si>
    <t>3, 15, 27</t>
  </si>
  <si>
    <t>4, 16, 28</t>
  </si>
  <si>
    <t>5, 17, 29</t>
  </si>
  <si>
    <t>6, 18, 30</t>
  </si>
  <si>
    <t>7, 19, 31</t>
  </si>
  <si>
    <t>8, 20, 32</t>
  </si>
  <si>
    <t>9, 21, 33</t>
  </si>
  <si>
    <t>10, 22, 34</t>
  </si>
  <si>
    <t>11, 23, 35</t>
  </si>
  <si>
    <t>12, 24, 36</t>
  </si>
  <si>
    <t>Scores</t>
  </si>
  <si>
    <t>Capabilities</t>
  </si>
  <si>
    <t>Preparation</t>
  </si>
  <si>
    <t>Self-Evaluation</t>
  </si>
  <si>
    <t>Imaging</t>
  </si>
  <si>
    <t>Problem Identification and Solution</t>
  </si>
  <si>
    <t>Motivation</t>
  </si>
  <si>
    <t>Creativity</t>
  </si>
  <si>
    <t>Social Contribution</t>
  </si>
  <si>
    <t>Relationship</t>
  </si>
  <si>
    <t>Self-Control</t>
  </si>
  <si>
    <t>Generating Motivation</t>
  </si>
  <si>
    <t>Leadership</t>
  </si>
  <si>
    <t>Listening</t>
  </si>
  <si>
    <t>Categories</t>
  </si>
  <si>
    <t>Thinking Faculty</t>
  </si>
  <si>
    <t>Action Taking</t>
  </si>
  <si>
    <t>Human Talent</t>
  </si>
  <si>
    <t>Step One Scoring</t>
  </si>
  <si>
    <t>Score Meaning</t>
  </si>
  <si>
    <t>Notes</t>
  </si>
  <si>
    <t>Society &amp; Others</t>
  </si>
  <si>
    <t>Tangible</t>
  </si>
  <si>
    <t>Intangible</t>
  </si>
  <si>
    <t>Self</t>
  </si>
  <si>
    <t>Service to Others</t>
  </si>
  <si>
    <t>At Home:</t>
  </si>
  <si>
    <t>At Work:</t>
  </si>
  <si>
    <t>Name:</t>
  </si>
  <si>
    <t>Today's Date:</t>
  </si>
  <si>
    <t>Goal Date:</t>
  </si>
  <si>
    <t>Three to Five Year Goal</t>
  </si>
  <si>
    <r>
      <rPr>
        <b/>
        <sz val="9"/>
        <color theme="1"/>
        <rFont val="Calibri"/>
        <family val="2"/>
        <scheme val="minor"/>
      </rPr>
      <t>Four Perspectives</t>
    </r>
    <r>
      <rPr>
        <sz val="9"/>
        <color theme="1"/>
        <rFont val="Calibri"/>
        <family val="2"/>
        <scheme val="minor"/>
      </rPr>
      <t xml:space="preserve">
Value and Purpose of Goals</t>
    </r>
  </si>
  <si>
    <t>Current FY Goal</t>
  </si>
  <si>
    <t>Current Month Goal</t>
  </si>
  <si>
    <t>Immediate Goal</t>
  </si>
  <si>
    <t>Goals</t>
  </si>
  <si>
    <t>Mental</t>
  </si>
  <si>
    <t>Skills</t>
  </si>
  <si>
    <t>Health</t>
  </si>
  <si>
    <t>Life</t>
  </si>
  <si>
    <t>Analysis of Past Successes</t>
  </si>
  <si>
    <t>Analysis of Past Failures</t>
  </si>
  <si>
    <t>Harada Method Long Term Goal Form</t>
  </si>
  <si>
    <t>Anticipated Obstacles</t>
  </si>
  <si>
    <t>Potential Countermeasures</t>
  </si>
  <si>
    <t>By When</t>
  </si>
  <si>
    <t>Routines in Order of Importance</t>
  </si>
  <si>
    <t>Tasks from 64 Window in Order of Importance</t>
  </si>
  <si>
    <t>Affirmational/Inspirational Saying</t>
  </si>
  <si>
    <t>Supporters to Rely On</t>
  </si>
  <si>
    <t>Support you Need</t>
  </si>
  <si>
    <t>At Home</t>
  </si>
  <si>
    <t>At Work</t>
  </si>
  <si>
    <t>Service Tasks</t>
  </si>
  <si>
    <t>Routines</t>
  </si>
  <si>
    <t>Goal</t>
  </si>
  <si>
    <t>Actual</t>
  </si>
  <si>
    <r>
      <t xml:space="preserve">Evaluation
</t>
    </r>
    <r>
      <rPr>
        <sz val="8"/>
        <color theme="1"/>
        <rFont val="Calibri"/>
        <family val="2"/>
        <scheme val="minor"/>
      </rPr>
      <t>Link to Goal</t>
    </r>
  </si>
  <si>
    <r>
      <t xml:space="preserve">Action
</t>
    </r>
    <r>
      <rPr>
        <sz val="8"/>
        <color theme="1"/>
        <rFont val="Calibri"/>
        <family val="2"/>
        <scheme val="minor"/>
      </rPr>
      <t>Daily Routine</t>
    </r>
  </si>
  <si>
    <t>Routine Checksheet</t>
  </si>
  <si>
    <t>DAY</t>
  </si>
  <si>
    <t>Plan</t>
  </si>
  <si>
    <t>Reflections</t>
  </si>
  <si>
    <t>Top Five Tasks for Today</t>
  </si>
  <si>
    <t>Daily Phrase:</t>
  </si>
  <si>
    <t>Daily Diary</t>
  </si>
  <si>
    <t>Daily Notes/Future Actions Needed</t>
  </si>
  <si>
    <t>Area</t>
  </si>
  <si>
    <t>Description</t>
  </si>
  <si>
    <t>Score</t>
  </si>
  <si>
    <t>Comments</t>
  </si>
  <si>
    <t>Overall</t>
  </si>
  <si>
    <t>Body</t>
  </si>
  <si>
    <t>Work</t>
  </si>
  <si>
    <t>Relations</t>
  </si>
  <si>
    <t>Learning</t>
  </si>
  <si>
    <t>Score 0-5 Total (out of possible 40)</t>
  </si>
  <si>
    <t>Challenges &amp; Positive Takeaways</t>
  </si>
  <si>
    <t>What would you have done Differently?</t>
  </si>
  <si>
    <t>Coach/Mentor Comments</t>
  </si>
  <si>
    <t>Inspiring Words or Phrases</t>
  </si>
  <si>
    <t>Synara - SOM Audit</t>
  </si>
  <si>
    <t>Take a win</t>
  </si>
  <si>
    <t>Send resume and NDA to Brad</t>
  </si>
  <si>
    <t>Finish YC Application</t>
  </si>
  <si>
    <t>Send resume/NDA to Brad</t>
  </si>
  <si>
    <t>Reflexive Reasoning Discussion</t>
  </si>
  <si>
    <t>Spec REF-REAS-001 Proposal</t>
  </si>
  <si>
    <t>Mostly complete - 3 closures</t>
  </si>
  <si>
    <t>Anxiety</t>
  </si>
  <si>
    <t>Tired</t>
  </si>
  <si>
    <t>Synara good</t>
  </si>
  <si>
    <t>Reflex reasoning is viable at scale</t>
  </si>
  <si>
    <t>Stressed about work expenses</t>
  </si>
  <si>
    <t>Make coffee instead of buying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</si>
</sst>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1AD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5" fillId="0" borderId="6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24" xfId="0" applyFont="1" applyBorder="1" applyAlignment="1">
      <alignment vertical="center" wrapText="1"/>
    </xf>
    <xf numFmtId="0" fontId="5" fillId="0" borderId="24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6" xfId="0" applyFont="1" applyBorder="1" applyAlignment="1">
      <alignment wrapText="1"/>
    </xf>
    <xf numFmtId="0" fontId="5" fillId="0" borderId="26" xfId="0" applyFont="1" applyBorder="1"/>
    <xf numFmtId="0" fontId="5" fillId="0" borderId="27" xfId="0" applyFont="1" applyBorder="1"/>
    <xf numFmtId="0" fontId="5" fillId="0" borderId="31" xfId="0" applyFont="1" applyBorder="1" applyAlignment="1">
      <alignment wrapText="1"/>
    </xf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5" fillId="0" borderId="37" xfId="0" applyFont="1" applyBorder="1"/>
    <xf numFmtId="0" fontId="5" fillId="0" borderId="20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6" fillId="2" borderId="58" xfId="0" applyFont="1" applyFill="1" applyBorder="1" applyAlignment="1">
      <alignment horizontal="center"/>
    </xf>
    <xf numFmtId="0" fontId="6" fillId="2" borderId="60" xfId="0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6" fillId="2" borderId="58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 textRotation="90" wrapText="1"/>
    </xf>
    <xf numFmtId="0" fontId="6" fillId="2" borderId="31" xfId="0" applyFont="1" applyFill="1" applyBorder="1" applyAlignment="1">
      <alignment horizontal="center" vertical="center" textRotation="90" wrapText="1"/>
    </xf>
    <xf numFmtId="0" fontId="6" fillId="2" borderId="2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3" xfId="0" applyFont="1" applyBorder="1"/>
    <xf numFmtId="0" fontId="1" fillId="4" borderId="3" xfId="0" applyFont="1" applyFill="1" applyBorder="1"/>
    <xf numFmtId="0" fontId="2" fillId="2" borderId="25" xfId="0" applyFont="1" applyFill="1" applyBorder="1" applyAlignment="1">
      <alignment horizontal="center"/>
    </xf>
    <xf numFmtId="0" fontId="1" fillId="0" borderId="29" xfId="0" applyFont="1" applyBorder="1"/>
    <xf numFmtId="0" fontId="1" fillId="4" borderId="31" xfId="0" applyFont="1" applyFill="1" applyBorder="1"/>
    <xf numFmtId="164" fontId="1" fillId="3" borderId="38" xfId="0" applyNumberFormat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4" borderId="29" xfId="0" applyFont="1" applyFill="1" applyBorder="1"/>
    <xf numFmtId="0" fontId="1" fillId="4" borderId="32" xfId="0" applyFont="1" applyFill="1" applyBorder="1"/>
    <xf numFmtId="0" fontId="1" fillId="0" borderId="32" xfId="0" applyFont="1" applyBorder="1"/>
    <xf numFmtId="0" fontId="3" fillId="2" borderId="0" xfId="0" applyFont="1" applyFill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3" fillId="2" borderId="5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 textRotation="90"/>
    </xf>
    <xf numFmtId="0" fontId="2" fillId="2" borderId="42" xfId="0" applyFont="1" applyFill="1" applyBorder="1" applyAlignment="1">
      <alignment horizontal="center" vertical="center" textRotation="90"/>
    </xf>
    <xf numFmtId="0" fontId="2" fillId="2" borderId="48" xfId="0" applyFont="1" applyFill="1" applyBorder="1" applyAlignment="1">
      <alignment horizontal="center" vertical="center" textRotation="90"/>
    </xf>
    <xf numFmtId="0" fontId="1" fillId="2" borderId="52" xfId="0" applyFont="1" applyFill="1" applyBorder="1" applyAlignment="1">
      <alignment horizontal="center" vertical="center" textRotation="90" wrapText="1"/>
    </xf>
    <xf numFmtId="0" fontId="1" fillId="2" borderId="42" xfId="0" applyFont="1" applyFill="1" applyBorder="1" applyAlignment="1">
      <alignment horizontal="center" vertical="center" textRotation="90"/>
    </xf>
    <xf numFmtId="0" fontId="1" fillId="2" borderId="48" xfId="0" applyFont="1" applyFill="1" applyBorder="1" applyAlignment="1">
      <alignment horizontal="center" vertical="center" textRotation="90"/>
    </xf>
    <xf numFmtId="0" fontId="1" fillId="4" borderId="2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" fillId="2" borderId="49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textRotation="90"/>
    </xf>
    <xf numFmtId="0" fontId="5" fillId="2" borderId="30" xfId="0" applyFont="1" applyFill="1" applyBorder="1" applyAlignment="1">
      <alignment horizontal="center" vertical="center" textRotation="90"/>
    </xf>
    <xf numFmtId="0" fontId="5" fillId="2" borderId="34" xfId="0" applyFont="1" applyFill="1" applyBorder="1" applyAlignment="1">
      <alignment horizontal="center" vertical="center" textRotation="90"/>
    </xf>
    <xf numFmtId="0" fontId="5" fillId="2" borderId="28" xfId="0" applyFont="1" applyFill="1" applyBorder="1" applyAlignment="1">
      <alignment horizontal="center" vertical="center" textRotation="90"/>
    </xf>
    <xf numFmtId="0" fontId="6" fillId="2" borderId="51" xfId="0" applyFont="1" applyFill="1" applyBorder="1" applyAlignment="1">
      <alignment horizontal="center"/>
    </xf>
    <xf numFmtId="0" fontId="6" fillId="2" borderId="58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left"/>
    </xf>
    <xf numFmtId="0" fontId="3" fillId="2" borderId="55" xfId="0" applyFont="1" applyFill="1" applyBorder="1" applyAlignment="1">
      <alignment horizontal="left"/>
    </xf>
    <xf numFmtId="0" fontId="1" fillId="4" borderId="28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29" xfId="0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4" borderId="30" xfId="0" applyFont="1" applyFill="1" applyBorder="1" applyAlignment="1">
      <alignment horizontal="left"/>
    </xf>
    <xf numFmtId="0" fontId="1" fillId="4" borderId="31" xfId="0" applyFont="1" applyFill="1" applyBorder="1" applyAlignment="1">
      <alignment horizontal="left"/>
    </xf>
    <xf numFmtId="0" fontId="1" fillId="4" borderId="32" xfId="0" applyFont="1" applyFill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18" fontId="1" fillId="2" borderId="28" xfId="0" applyNumberFormat="1" applyFont="1" applyFill="1" applyBorder="1" applyAlignment="1">
      <alignment horizontal="center" vertical="center"/>
    </xf>
    <xf numFmtId="18" fontId="1" fillId="2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1AD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795550</xdr:colOff>
      <xdr:row>7</xdr:row>
      <xdr:rowOff>307870</xdr:rowOff>
    </xdr:from>
    <xdr:to>
      <xdr:col>7</xdr:col>
      <xdr:colOff>100065</xdr:colOff>
      <xdr:row>8</xdr:row>
      <xdr:rowOff>164614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3B00E69-29EA-575B-7C0B-71A34360AF2C}"/>
            </a:ext>
          </a:extLst>
        </xdr:cNvPr>
        <xdr:cNvSpPr/>
      </xdr:nvSpPr>
      <xdr:spPr>
        <a:xfrm rot="2700000">
          <a:off x="6226816" y="3098584"/>
          <a:ext cx="329184" cy="218915"/>
        </a:xfrm>
        <a:prstGeom prst="rightArrow">
          <a:avLst/>
        </a:prstGeom>
        <a:solidFill>
          <a:srgbClr val="61ADD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755656</xdr:colOff>
      <xdr:row>4</xdr:row>
      <xdr:rowOff>370625</xdr:rowOff>
    </xdr:from>
    <xdr:to>
      <xdr:col>7</xdr:col>
      <xdr:colOff>170440</xdr:colOff>
      <xdr:row>5</xdr:row>
      <xdr:rowOff>117100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6454639-21AB-4918-9425-E86B2A05334A}"/>
            </a:ext>
          </a:extLst>
        </xdr:cNvPr>
        <xdr:cNvSpPr/>
      </xdr:nvSpPr>
      <xdr:spPr>
        <a:xfrm rot="-2700000">
          <a:off x="6242056" y="1688885"/>
          <a:ext cx="329184" cy="218915"/>
        </a:xfrm>
        <a:prstGeom prst="rightArrow">
          <a:avLst/>
        </a:prstGeom>
        <a:solidFill>
          <a:srgbClr val="61ADD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740417</xdr:colOff>
      <xdr:row>7</xdr:row>
      <xdr:rowOff>370626</xdr:rowOff>
    </xdr:from>
    <xdr:to>
      <xdr:col>4</xdr:col>
      <xdr:colOff>155201</xdr:colOff>
      <xdr:row>8</xdr:row>
      <xdr:rowOff>117101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89C27AF-1F30-49FF-A7E6-832D6F04B78E}"/>
            </a:ext>
          </a:extLst>
        </xdr:cNvPr>
        <xdr:cNvSpPr/>
      </xdr:nvSpPr>
      <xdr:spPr>
        <a:xfrm rot="8100000">
          <a:off x="3483617" y="3106206"/>
          <a:ext cx="329184" cy="218915"/>
        </a:xfrm>
        <a:prstGeom prst="rightArrow">
          <a:avLst/>
        </a:prstGeom>
        <a:solidFill>
          <a:srgbClr val="61ADD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818412</xdr:colOff>
      <xdr:row>4</xdr:row>
      <xdr:rowOff>300252</xdr:rowOff>
    </xdr:from>
    <xdr:to>
      <xdr:col>4</xdr:col>
      <xdr:colOff>122927</xdr:colOff>
      <xdr:row>5</xdr:row>
      <xdr:rowOff>156996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4B88D63-197C-4D54-8B9C-C8D9E53B35C9}"/>
            </a:ext>
          </a:extLst>
        </xdr:cNvPr>
        <xdr:cNvSpPr/>
      </xdr:nvSpPr>
      <xdr:spPr>
        <a:xfrm rot="-8100000">
          <a:off x="3506478" y="1673646"/>
          <a:ext cx="329184" cy="218915"/>
        </a:xfrm>
        <a:prstGeom prst="rightArrow">
          <a:avLst/>
        </a:prstGeom>
        <a:solidFill>
          <a:srgbClr val="61ADD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5544-C147-4393-9F3A-7A27F6C3B6AE}">
  <sheetPr>
    <pageSetUpPr fitToPage="1"/>
  </sheetPr>
  <dimension ref="B2:D39"/>
  <sheetViews>
    <sheetView tabSelected="1" zoomScale="130" zoomScaleNormal="130" workbookViewId="0">
      <selection activeCell="C21" sqref="C21"/>
    </sheetView>
  </sheetViews>
  <sheetFormatPr defaultColWidth="8.85546875" defaultRowHeight="12" x14ac:dyDescent="0.2"/>
  <cols>
    <col min="1" max="1" width="1" style="1" customWidth="1"/>
    <col min="2" max="2" width="84.85546875" style="1" bestFit="1" customWidth="1"/>
    <col min="3" max="3" width="15.140625" style="3" customWidth="1"/>
    <col min="4" max="4" width="21.5703125" style="3" bestFit="1" customWidth="1"/>
    <col min="5" max="16384" width="8.85546875" style="1"/>
  </cols>
  <sheetData>
    <row r="2" spans="2:4" ht="15.75" x14ac:dyDescent="0.25">
      <c r="B2" s="110" t="s">
        <v>37</v>
      </c>
      <c r="C2" s="110"/>
      <c r="D2" s="110"/>
    </row>
    <row r="3" spans="2:4" x14ac:dyDescent="0.2">
      <c r="B3" s="2" t="s">
        <v>36</v>
      </c>
      <c r="C3" s="2" t="s">
        <v>38</v>
      </c>
      <c r="D3" s="2" t="s">
        <v>71</v>
      </c>
    </row>
    <row r="4" spans="2:4" x14ac:dyDescent="0.2">
      <c r="B4" s="1" t="s">
        <v>0</v>
      </c>
      <c r="C4" s="3">
        <v>1</v>
      </c>
      <c r="D4" s="3" t="str">
        <f>IF(C4=1,"Strongly Disagree", IF(C4=2,"Disagree", IF(C4=3,"Neither Agree or Disagree", IF(C4=4,"Agree", IF(C4=5,"Strongly Agree","No Value")))))</f>
        <v>Strongly Disagree</v>
      </c>
    </row>
    <row r="5" spans="2:4" x14ac:dyDescent="0.2">
      <c r="B5" s="1" t="s">
        <v>1</v>
      </c>
      <c r="C5" s="3">
        <v>4</v>
      </c>
      <c r="D5" s="3" t="str">
        <f>IF(C5=1,"Strongly Disagree", IF(C5=2,"Disagree", IF(C5=3,"Neither Agree or Disagree", IF(C5=4,"Agree", IF(C5=5,"Strongly Agree","No Value")))))</f>
        <v>Agree</v>
      </c>
    </row>
    <row r="6" spans="2:4" x14ac:dyDescent="0.2">
      <c r="B6" s="1" t="s">
        <v>2</v>
      </c>
      <c r="C6" s="3">
        <v>1</v>
      </c>
      <c r="D6" s="3" t="str">
        <f t="shared" ref="D6:D39" si="0">IF(C6=1,"Strongly Disagree", IF(C6=2,"Disagree", IF(C6=3,"Neither Agree or Disagree", IF(C6=4,"Agree", IF(C6=5,"Strongly Agree","No Value")))))</f>
        <v>Strongly Disagree</v>
      </c>
    </row>
    <row r="7" spans="2:4" x14ac:dyDescent="0.2">
      <c r="B7" s="1" t="s">
        <v>3</v>
      </c>
      <c r="C7" s="3">
        <v>3</v>
      </c>
      <c r="D7" s="3" t="str">
        <f t="shared" si="0"/>
        <v>Neither Agree or Disagree</v>
      </c>
    </row>
    <row r="8" spans="2:4" x14ac:dyDescent="0.2">
      <c r="B8" s="1" t="s">
        <v>4</v>
      </c>
      <c r="C8" s="3">
        <v>4</v>
      </c>
      <c r="D8" s="3" t="str">
        <f t="shared" si="0"/>
        <v>Agree</v>
      </c>
    </row>
    <row r="9" spans="2:4" x14ac:dyDescent="0.2">
      <c r="B9" s="1" t="s">
        <v>5</v>
      </c>
      <c r="C9" s="3">
        <v>5</v>
      </c>
      <c r="D9" s="3" t="str">
        <f t="shared" si="0"/>
        <v>Strongly Agree</v>
      </c>
    </row>
    <row r="10" spans="2:4" x14ac:dyDescent="0.2">
      <c r="B10" s="1" t="s">
        <v>6</v>
      </c>
      <c r="C10" s="3">
        <v>5</v>
      </c>
      <c r="D10" s="3" t="str">
        <f t="shared" si="0"/>
        <v>Strongly Agree</v>
      </c>
    </row>
    <row r="11" spans="2:4" x14ac:dyDescent="0.2">
      <c r="B11" s="1" t="s">
        <v>7</v>
      </c>
      <c r="C11" s="3">
        <v>5</v>
      </c>
      <c r="D11" s="3" t="str">
        <f t="shared" si="0"/>
        <v>Strongly Agree</v>
      </c>
    </row>
    <row r="12" spans="2:4" x14ac:dyDescent="0.2">
      <c r="B12" s="1" t="s">
        <v>8</v>
      </c>
      <c r="C12" s="3">
        <v>5</v>
      </c>
      <c r="D12" s="3" t="str">
        <f t="shared" si="0"/>
        <v>Strongly Agree</v>
      </c>
    </row>
    <row r="13" spans="2:4" x14ac:dyDescent="0.2">
      <c r="B13" s="1" t="s">
        <v>9</v>
      </c>
      <c r="C13" s="3">
        <v>5</v>
      </c>
      <c r="D13" s="3" t="str">
        <f t="shared" si="0"/>
        <v>Strongly Agree</v>
      </c>
    </row>
    <row r="14" spans="2:4" x14ac:dyDescent="0.2">
      <c r="B14" s="1" t="s">
        <v>10</v>
      </c>
      <c r="C14" s="3">
        <v>4</v>
      </c>
      <c r="D14" s="3" t="str">
        <f t="shared" si="0"/>
        <v>Agree</v>
      </c>
    </row>
    <row r="15" spans="2:4" x14ac:dyDescent="0.2">
      <c r="B15" s="1" t="s">
        <v>11</v>
      </c>
      <c r="C15" s="3">
        <v>5</v>
      </c>
      <c r="D15" s="3" t="str">
        <f t="shared" si="0"/>
        <v>Strongly Agree</v>
      </c>
    </row>
    <row r="16" spans="2:4" x14ac:dyDescent="0.2">
      <c r="B16" s="1" t="s">
        <v>12</v>
      </c>
      <c r="C16" s="3">
        <v>2</v>
      </c>
      <c r="D16" s="3" t="str">
        <f t="shared" si="0"/>
        <v>Disagree</v>
      </c>
    </row>
    <row r="17" spans="2:4" x14ac:dyDescent="0.2">
      <c r="B17" s="1" t="s">
        <v>13</v>
      </c>
      <c r="C17" s="3">
        <v>5</v>
      </c>
      <c r="D17" s="3" t="str">
        <f t="shared" si="0"/>
        <v>Strongly Agree</v>
      </c>
    </row>
    <row r="18" spans="2:4" x14ac:dyDescent="0.2">
      <c r="B18" s="1" t="s">
        <v>14</v>
      </c>
      <c r="C18" s="3">
        <v>1</v>
      </c>
      <c r="D18" s="3" t="str">
        <f t="shared" si="0"/>
        <v>Strongly Disagree</v>
      </c>
    </row>
    <row r="19" spans="2:4" x14ac:dyDescent="0.2">
      <c r="B19" s="1" t="s">
        <v>15</v>
      </c>
      <c r="C19" s="3">
        <v>3</v>
      </c>
      <c r="D19" s="3" t="str">
        <f t="shared" si="0"/>
        <v>Neither Agree or Disagree</v>
      </c>
    </row>
    <row r="20" spans="2:4" x14ac:dyDescent="0.2">
      <c r="B20" s="1" t="s">
        <v>16</v>
      </c>
      <c r="C20" s="3">
        <v>5</v>
      </c>
      <c r="D20" s="3" t="str">
        <f t="shared" si="0"/>
        <v>Strongly Agree</v>
      </c>
    </row>
    <row r="21" spans="2:4" x14ac:dyDescent="0.2">
      <c r="B21" s="1" t="s">
        <v>17</v>
      </c>
      <c r="D21" s="3" t="str">
        <f t="shared" si="0"/>
        <v>No Value</v>
      </c>
    </row>
    <row r="22" spans="2:4" x14ac:dyDescent="0.2">
      <c r="B22" s="1" t="s">
        <v>18</v>
      </c>
      <c r="D22" s="3" t="str">
        <f t="shared" si="0"/>
        <v>No Value</v>
      </c>
    </row>
    <row r="23" spans="2:4" x14ac:dyDescent="0.2">
      <c r="B23" s="1" t="s">
        <v>19</v>
      </c>
      <c r="D23" s="3" t="str">
        <f t="shared" si="0"/>
        <v>No Value</v>
      </c>
    </row>
    <row r="24" spans="2:4" x14ac:dyDescent="0.2">
      <c r="B24" s="1" t="s">
        <v>20</v>
      </c>
      <c r="D24" s="3" t="str">
        <f t="shared" si="0"/>
        <v>No Value</v>
      </c>
    </row>
    <row r="25" spans="2:4" x14ac:dyDescent="0.2">
      <c r="B25" s="1" t="s">
        <v>21</v>
      </c>
      <c r="D25" s="3" t="str">
        <f t="shared" si="0"/>
        <v>No Value</v>
      </c>
    </row>
    <row r="26" spans="2:4" x14ac:dyDescent="0.2">
      <c r="B26" s="1" t="s">
        <v>22</v>
      </c>
      <c r="D26" s="3" t="str">
        <f t="shared" si="0"/>
        <v>No Value</v>
      </c>
    </row>
    <row r="27" spans="2:4" x14ac:dyDescent="0.2">
      <c r="B27" s="1" t="s">
        <v>23</v>
      </c>
      <c r="D27" s="3" t="str">
        <f t="shared" si="0"/>
        <v>No Value</v>
      </c>
    </row>
    <row r="28" spans="2:4" x14ac:dyDescent="0.2">
      <c r="B28" s="1" t="s">
        <v>24</v>
      </c>
      <c r="D28" s="3" t="str">
        <f t="shared" si="0"/>
        <v>No Value</v>
      </c>
    </row>
    <row r="29" spans="2:4" x14ac:dyDescent="0.2">
      <c r="B29" s="1" t="s">
        <v>25</v>
      </c>
      <c r="D29" s="3" t="str">
        <f t="shared" si="0"/>
        <v>No Value</v>
      </c>
    </row>
    <row r="30" spans="2:4" x14ac:dyDescent="0.2">
      <c r="B30" s="1" t="s">
        <v>26</v>
      </c>
      <c r="D30" s="3" t="str">
        <f t="shared" si="0"/>
        <v>No Value</v>
      </c>
    </row>
    <row r="31" spans="2:4" x14ac:dyDescent="0.2">
      <c r="B31" s="1" t="s">
        <v>27</v>
      </c>
      <c r="D31" s="3" t="str">
        <f t="shared" si="0"/>
        <v>No Value</v>
      </c>
    </row>
    <row r="32" spans="2:4" x14ac:dyDescent="0.2">
      <c r="B32" s="1" t="s">
        <v>28</v>
      </c>
      <c r="D32" s="3" t="str">
        <f t="shared" si="0"/>
        <v>No Value</v>
      </c>
    </row>
    <row r="33" spans="2:4" x14ac:dyDescent="0.2">
      <c r="B33" s="1" t="s">
        <v>29</v>
      </c>
      <c r="D33" s="3" t="str">
        <f t="shared" si="0"/>
        <v>No Value</v>
      </c>
    </row>
    <row r="34" spans="2:4" x14ac:dyDescent="0.2">
      <c r="B34" s="1" t="s">
        <v>30</v>
      </c>
      <c r="D34" s="3" t="str">
        <f t="shared" si="0"/>
        <v>No Value</v>
      </c>
    </row>
    <row r="35" spans="2:4" x14ac:dyDescent="0.2">
      <c r="B35" s="1" t="s">
        <v>31</v>
      </c>
      <c r="D35" s="3" t="str">
        <f t="shared" si="0"/>
        <v>No Value</v>
      </c>
    </row>
    <row r="36" spans="2:4" x14ac:dyDescent="0.2">
      <c r="B36" s="1" t="s">
        <v>32</v>
      </c>
      <c r="D36" s="3" t="str">
        <f t="shared" si="0"/>
        <v>No Value</v>
      </c>
    </row>
    <row r="37" spans="2:4" x14ac:dyDescent="0.2">
      <c r="B37" s="1" t="s">
        <v>33</v>
      </c>
      <c r="D37" s="3" t="str">
        <f t="shared" si="0"/>
        <v>No Value</v>
      </c>
    </row>
    <row r="38" spans="2:4" x14ac:dyDescent="0.2">
      <c r="B38" s="1" t="s">
        <v>34</v>
      </c>
      <c r="C38" s="3">
        <v>4</v>
      </c>
      <c r="D38" s="3" t="str">
        <f t="shared" si="0"/>
        <v>Agree</v>
      </c>
    </row>
    <row r="39" spans="2:4" x14ac:dyDescent="0.2">
      <c r="B39" s="1" t="s">
        <v>35</v>
      </c>
      <c r="C39" s="3">
        <v>5</v>
      </c>
      <c r="D39" s="3" t="str">
        <f t="shared" si="0"/>
        <v>Strongly Agree</v>
      </c>
    </row>
  </sheetData>
  <mergeCells count="1">
    <mergeCell ref="B2:D2"/>
  </mergeCells>
  <conditionalFormatting sqref="D4:D39">
    <cfRule type="cellIs" dxfId="4" priority="1" operator="equal">
      <formula>"Strongly Agree"</formula>
    </cfRule>
    <cfRule type="cellIs" dxfId="3" priority="3" operator="equal">
      <formula>"Agree"</formula>
    </cfRule>
    <cfRule type="cellIs" dxfId="2" priority="4" operator="equal">
      <formula>"Neither Agree or Disagree"</formula>
    </cfRule>
    <cfRule type="cellIs" dxfId="1" priority="5" operator="equal">
      <formula>"Strongly Disagree"</formula>
    </cfRule>
    <cfRule type="cellIs" dxfId="0" priority="6" operator="equal">
      <formula>"Disagree"</formula>
    </cfRule>
  </conditionalFormatting>
  <pageMargins left="0.7" right="0.7" top="0.75" bottom="0.75" header="0.3" footer="0.3"/>
  <pageSetup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BB40-ECC3-49B3-9E3A-849AF2F87079}">
  <dimension ref="B3:F16"/>
  <sheetViews>
    <sheetView showGridLines="0" workbookViewId="0">
      <selection activeCell="D27" sqref="D27"/>
    </sheetView>
  </sheetViews>
  <sheetFormatPr defaultColWidth="8.85546875" defaultRowHeight="12" x14ac:dyDescent="0.2"/>
  <cols>
    <col min="1" max="1" width="8.85546875" style="1"/>
    <col min="2" max="3" width="8.85546875" style="3"/>
    <col min="4" max="4" width="29.7109375" style="1" bestFit="1" customWidth="1"/>
    <col min="5" max="5" width="13.7109375" style="1" bestFit="1" customWidth="1"/>
    <col min="6" max="6" width="41.42578125" style="1" customWidth="1"/>
    <col min="7" max="16384" width="8.85546875" style="1"/>
  </cols>
  <sheetData>
    <row r="3" spans="2:6" ht="15.75" x14ac:dyDescent="0.25">
      <c r="B3" s="110" t="s">
        <v>70</v>
      </c>
      <c r="C3" s="110"/>
      <c r="D3" s="110"/>
      <c r="E3" s="110"/>
      <c r="F3" s="110"/>
    </row>
    <row r="4" spans="2:6" x14ac:dyDescent="0.2">
      <c r="B4" s="2" t="s">
        <v>39</v>
      </c>
      <c r="C4" s="2" t="s">
        <v>52</v>
      </c>
      <c r="D4" s="2" t="s">
        <v>53</v>
      </c>
      <c r="E4" s="2" t="s">
        <v>66</v>
      </c>
      <c r="F4" s="2" t="s">
        <v>72</v>
      </c>
    </row>
    <row r="5" spans="2:6" x14ac:dyDescent="0.2">
      <c r="B5" s="5" t="s">
        <v>40</v>
      </c>
      <c r="C5" s="6">
        <f>AVERAGE('Sheet One - Questionnaire'!C4,'Sheet One - Questionnaire'!C28,'Sheet One - Questionnaire'!C16)</f>
        <v>1.5</v>
      </c>
      <c r="D5" s="7" t="s">
        <v>54</v>
      </c>
      <c r="E5" s="111" t="s">
        <v>67</v>
      </c>
      <c r="F5" s="114"/>
    </row>
    <row r="6" spans="2:6" x14ac:dyDescent="0.2">
      <c r="B6" s="8" t="s">
        <v>41</v>
      </c>
      <c r="C6" s="9">
        <f>AVERAGE('Sheet One - Questionnaire'!C5,'Sheet One - Questionnaire'!C29,'Sheet One - Questionnaire'!C17)</f>
        <v>4.5</v>
      </c>
      <c r="D6" s="10" t="s">
        <v>55</v>
      </c>
      <c r="E6" s="112"/>
      <c r="F6" s="114"/>
    </row>
    <row r="7" spans="2:6" x14ac:dyDescent="0.2">
      <c r="B7" s="11" t="s">
        <v>42</v>
      </c>
      <c r="C7" s="12">
        <f>AVERAGE('Sheet One - Questionnaire'!C6,'Sheet One - Questionnaire'!C30,'Sheet One - Questionnaire'!C18)</f>
        <v>1</v>
      </c>
      <c r="D7" s="13" t="s">
        <v>56</v>
      </c>
      <c r="E7" s="113"/>
      <c r="F7" s="114"/>
    </row>
    <row r="8" spans="2:6" x14ac:dyDescent="0.2">
      <c r="B8" s="5" t="s">
        <v>43</v>
      </c>
      <c r="C8" s="6">
        <f>AVERAGE('Sheet One - Questionnaire'!C7,'Sheet One - Questionnaire'!C31,'Sheet One - Questionnaire'!C19)</f>
        <v>3</v>
      </c>
      <c r="D8" s="7" t="s">
        <v>57</v>
      </c>
      <c r="E8" s="111" t="s">
        <v>68</v>
      </c>
      <c r="F8" s="114"/>
    </row>
    <row r="9" spans="2:6" x14ac:dyDescent="0.2">
      <c r="B9" s="8" t="s">
        <v>44</v>
      </c>
      <c r="C9" s="9">
        <f>AVERAGE('Sheet One - Questionnaire'!C8,'Sheet One - Questionnaire'!C32,'Sheet One - Questionnaire'!C20)</f>
        <v>4.5</v>
      </c>
      <c r="D9" s="10" t="s">
        <v>58</v>
      </c>
      <c r="E9" s="112"/>
      <c r="F9" s="114"/>
    </row>
    <row r="10" spans="2:6" x14ac:dyDescent="0.2">
      <c r="B10" s="11" t="s">
        <v>45</v>
      </c>
      <c r="C10" s="12">
        <f>AVERAGE('Sheet One - Questionnaire'!C9,'Sheet One - Questionnaire'!C33,'Sheet One - Questionnaire'!C21)</f>
        <v>5</v>
      </c>
      <c r="D10" s="13" t="s">
        <v>59</v>
      </c>
      <c r="E10" s="113"/>
      <c r="F10" s="114"/>
    </row>
    <row r="11" spans="2:6" x14ac:dyDescent="0.2">
      <c r="B11" s="5" t="s">
        <v>46</v>
      </c>
      <c r="C11" s="6">
        <f>AVERAGE('Sheet One - Questionnaire'!C10,'Sheet One - Questionnaire'!C34,'Sheet One - Questionnaire'!C22)</f>
        <v>5</v>
      </c>
      <c r="D11" s="7" t="s">
        <v>60</v>
      </c>
      <c r="E11" s="111" t="s">
        <v>69</v>
      </c>
      <c r="F11" s="114"/>
    </row>
    <row r="12" spans="2:6" x14ac:dyDescent="0.2">
      <c r="B12" s="8" t="s">
        <v>47</v>
      </c>
      <c r="C12" s="9">
        <f>AVERAGE('Sheet One - Questionnaire'!C11,'Sheet One - Questionnaire'!C35,'Sheet One - Questionnaire'!C23)</f>
        <v>5</v>
      </c>
      <c r="D12" s="10" t="s">
        <v>61</v>
      </c>
      <c r="E12" s="112"/>
      <c r="F12" s="114"/>
    </row>
    <row r="13" spans="2:6" x14ac:dyDescent="0.2">
      <c r="B13" s="11" t="s">
        <v>48</v>
      </c>
      <c r="C13" s="12">
        <f>AVERAGE('Sheet One - Questionnaire'!C12,'Sheet One - Questionnaire'!C36,'Sheet One - Questionnaire'!C24)</f>
        <v>5</v>
      </c>
      <c r="D13" s="13" t="s">
        <v>62</v>
      </c>
      <c r="E13" s="113"/>
      <c r="F13" s="114"/>
    </row>
    <row r="14" spans="2:6" x14ac:dyDescent="0.2">
      <c r="B14" s="5" t="s">
        <v>49</v>
      </c>
      <c r="C14" s="6">
        <f>AVERAGE('Sheet One - Questionnaire'!C13,'Sheet One - Questionnaire'!C37,'Sheet One - Questionnaire'!C25)</f>
        <v>5</v>
      </c>
      <c r="D14" s="7" t="s">
        <v>63</v>
      </c>
      <c r="E14" s="111" t="s">
        <v>64</v>
      </c>
      <c r="F14" s="114"/>
    </row>
    <row r="15" spans="2:6" x14ac:dyDescent="0.2">
      <c r="B15" s="8" t="s">
        <v>50</v>
      </c>
      <c r="C15" s="9">
        <f>AVERAGE('Sheet One - Questionnaire'!C14,'Sheet One - Questionnaire'!C38,'Sheet One - Questionnaire'!C26)</f>
        <v>4</v>
      </c>
      <c r="D15" s="10" t="s">
        <v>64</v>
      </c>
      <c r="E15" s="112"/>
      <c r="F15" s="114"/>
    </row>
    <row r="16" spans="2:6" x14ac:dyDescent="0.2">
      <c r="B16" s="11" t="s">
        <v>51</v>
      </c>
      <c r="C16" s="12">
        <f>AVERAGE('Sheet One - Questionnaire'!C15,'Sheet One - Questionnaire'!C39,'Sheet One - Questionnaire'!C27)</f>
        <v>5</v>
      </c>
      <c r="D16" s="13" t="s">
        <v>65</v>
      </c>
      <c r="E16" s="113"/>
      <c r="F16" s="114"/>
    </row>
  </sheetData>
  <mergeCells count="9">
    <mergeCell ref="E5:E7"/>
    <mergeCell ref="E8:E10"/>
    <mergeCell ref="E11:E13"/>
    <mergeCell ref="E14:E16"/>
    <mergeCell ref="B3:F3"/>
    <mergeCell ref="F5:F7"/>
    <mergeCell ref="F8:F10"/>
    <mergeCell ref="F11:F13"/>
    <mergeCell ref="F14:F16"/>
  </mergeCells>
  <phoneticPr fontId="4" type="noConversion"/>
  <conditionalFormatting sqref="C5:C16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32FC-7FDC-4532-AFFA-69E3ADBC8D66}">
  <sheetPr>
    <pageSetUpPr fitToPage="1"/>
  </sheetPr>
  <dimension ref="B2:N66"/>
  <sheetViews>
    <sheetView showGridLines="0" topLeftCell="A29" workbookViewId="0">
      <selection activeCell="B11" sqref="B11:B32"/>
    </sheetView>
  </sheetViews>
  <sheetFormatPr defaultColWidth="8.85546875" defaultRowHeight="12" x14ac:dyDescent="0.2"/>
  <cols>
    <col min="1" max="1" width="2" style="3" customWidth="1"/>
    <col min="2" max="2" width="8.85546875" style="3" customWidth="1"/>
    <col min="3" max="16384" width="8.85546875" style="3"/>
  </cols>
  <sheetData>
    <row r="2" spans="2:14" ht="12.75" thickBot="1" x14ac:dyDescent="0.25"/>
    <row r="3" spans="2:14" ht="16.5" thickBot="1" x14ac:dyDescent="0.25">
      <c r="B3" s="151" t="s">
        <v>95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3"/>
    </row>
    <row r="4" spans="2:14" x14ac:dyDescent="0.2">
      <c r="B4" s="121"/>
      <c r="C4" s="147" t="s">
        <v>80</v>
      </c>
      <c r="D4" s="148"/>
      <c r="E4" s="149"/>
      <c r="F4" s="149"/>
      <c r="G4" s="149"/>
      <c r="H4" s="148" t="s">
        <v>81</v>
      </c>
      <c r="I4" s="148"/>
      <c r="J4" s="149"/>
      <c r="K4" s="149"/>
      <c r="L4" s="41" t="s">
        <v>82</v>
      </c>
      <c r="M4" s="149"/>
      <c r="N4" s="150"/>
    </row>
    <row r="5" spans="2:14" ht="12.75" thickBot="1" x14ac:dyDescent="0.25">
      <c r="B5" s="121"/>
      <c r="C5" s="162" t="s">
        <v>77</v>
      </c>
      <c r="D5" s="163"/>
      <c r="E5" s="43" t="s">
        <v>78</v>
      </c>
      <c r="F5" s="164"/>
      <c r="G5" s="164"/>
      <c r="H5" s="164"/>
      <c r="I5" s="164"/>
      <c r="J5" s="43" t="s">
        <v>79</v>
      </c>
      <c r="K5" s="164"/>
      <c r="L5" s="164"/>
      <c r="M5" s="164"/>
      <c r="N5" s="165"/>
    </row>
    <row r="6" spans="2:14" x14ac:dyDescent="0.2">
      <c r="B6" s="154" t="s">
        <v>88</v>
      </c>
      <c r="C6" s="147" t="s">
        <v>83</v>
      </c>
      <c r="D6" s="148"/>
      <c r="E6" s="148"/>
      <c r="F6" s="171"/>
      <c r="G6" s="129"/>
      <c r="H6" s="129"/>
      <c r="I6" s="129"/>
      <c r="J6" s="129"/>
      <c r="K6" s="129"/>
      <c r="L6" s="41" t="s">
        <v>82</v>
      </c>
      <c r="M6" s="149"/>
      <c r="N6" s="150"/>
    </row>
    <row r="7" spans="2:14" x14ac:dyDescent="0.2">
      <c r="B7" s="155"/>
      <c r="C7" s="160" t="s">
        <v>85</v>
      </c>
      <c r="D7" s="161"/>
      <c r="E7" s="161"/>
      <c r="F7" s="166"/>
      <c r="G7" s="131"/>
      <c r="H7" s="131"/>
      <c r="I7" s="131"/>
      <c r="J7" s="131"/>
      <c r="K7" s="131"/>
      <c r="L7" s="42" t="s">
        <v>82</v>
      </c>
      <c r="M7" s="134"/>
      <c r="N7" s="135"/>
    </row>
    <row r="8" spans="2:14" x14ac:dyDescent="0.2">
      <c r="B8" s="155"/>
      <c r="C8" s="160" t="s">
        <v>86</v>
      </c>
      <c r="D8" s="161"/>
      <c r="E8" s="161"/>
      <c r="F8" s="166"/>
      <c r="G8" s="131"/>
      <c r="H8" s="131"/>
      <c r="I8" s="131"/>
      <c r="J8" s="131"/>
      <c r="K8" s="131"/>
      <c r="L8" s="42" t="s">
        <v>82</v>
      </c>
      <c r="M8" s="134"/>
      <c r="N8" s="135"/>
    </row>
    <row r="9" spans="2:14" ht="12.75" thickBot="1" x14ac:dyDescent="0.25">
      <c r="B9" s="156"/>
      <c r="C9" s="162" t="s">
        <v>87</v>
      </c>
      <c r="D9" s="163"/>
      <c r="E9" s="163"/>
      <c r="F9" s="167"/>
      <c r="G9" s="117"/>
      <c r="H9" s="117"/>
      <c r="I9" s="117"/>
      <c r="J9" s="117"/>
      <c r="K9" s="117"/>
      <c r="L9" s="43" t="s">
        <v>82</v>
      </c>
      <c r="M9" s="164"/>
      <c r="N9" s="165"/>
    </row>
    <row r="10" spans="2:14" ht="12.75" thickBot="1" x14ac:dyDescent="0.25">
      <c r="B10" s="45"/>
      <c r="C10" s="177"/>
      <c r="D10" s="178"/>
      <c r="E10" s="178"/>
      <c r="F10" s="178"/>
      <c r="G10" s="179"/>
      <c r="H10" s="172" t="s">
        <v>74</v>
      </c>
      <c r="I10" s="173"/>
      <c r="J10" s="177"/>
      <c r="K10" s="178"/>
      <c r="L10" s="178"/>
      <c r="M10" s="178"/>
      <c r="N10" s="180"/>
    </row>
    <row r="11" spans="2:14" x14ac:dyDescent="0.2">
      <c r="B11" s="157" t="s">
        <v>84</v>
      </c>
      <c r="C11" s="49">
        <v>1</v>
      </c>
      <c r="D11" s="176"/>
      <c r="E11" s="149"/>
      <c r="F11" s="149"/>
      <c r="G11" s="149"/>
      <c r="H11" s="149"/>
      <c r="I11" s="51">
        <v>1</v>
      </c>
      <c r="J11" s="176"/>
      <c r="K11" s="149"/>
      <c r="L11" s="149"/>
      <c r="M11" s="149"/>
      <c r="N11" s="150"/>
    </row>
    <row r="12" spans="2:14" x14ac:dyDescent="0.2">
      <c r="B12" s="158"/>
      <c r="C12" s="50">
        <v>2</v>
      </c>
      <c r="D12" s="168"/>
      <c r="E12" s="134"/>
      <c r="F12" s="134"/>
      <c r="G12" s="134"/>
      <c r="H12" s="134"/>
      <c r="I12" s="52">
        <v>2</v>
      </c>
      <c r="J12" s="168"/>
      <c r="K12" s="134"/>
      <c r="L12" s="134"/>
      <c r="M12" s="134"/>
      <c r="N12" s="135"/>
    </row>
    <row r="13" spans="2:14" x14ac:dyDescent="0.2">
      <c r="B13" s="158"/>
      <c r="C13" s="50">
        <v>3</v>
      </c>
      <c r="D13" s="168"/>
      <c r="E13" s="134"/>
      <c r="F13" s="134"/>
      <c r="G13" s="134"/>
      <c r="H13" s="134"/>
      <c r="I13" s="52">
        <v>3</v>
      </c>
      <c r="J13" s="168"/>
      <c r="K13" s="134"/>
      <c r="L13" s="134"/>
      <c r="M13" s="134"/>
      <c r="N13" s="135"/>
    </row>
    <row r="14" spans="2:14" x14ac:dyDescent="0.2">
      <c r="B14" s="158"/>
      <c r="C14" s="50">
        <v>4</v>
      </c>
      <c r="D14" s="168"/>
      <c r="E14" s="134"/>
      <c r="F14" s="134"/>
      <c r="G14" s="134"/>
      <c r="H14" s="134"/>
      <c r="I14" s="52">
        <v>4</v>
      </c>
      <c r="J14" s="168"/>
      <c r="K14" s="134"/>
      <c r="L14" s="134"/>
      <c r="M14" s="134"/>
      <c r="N14" s="135"/>
    </row>
    <row r="15" spans="2:14" x14ac:dyDescent="0.2">
      <c r="B15" s="158"/>
      <c r="C15" s="50">
        <v>5</v>
      </c>
      <c r="D15" s="168"/>
      <c r="E15" s="134"/>
      <c r="F15" s="134"/>
      <c r="G15" s="134"/>
      <c r="H15" s="134"/>
      <c r="I15" s="52">
        <v>5</v>
      </c>
      <c r="J15" s="168"/>
      <c r="K15" s="134"/>
      <c r="L15" s="134"/>
      <c r="M15" s="134"/>
      <c r="N15" s="135"/>
    </row>
    <row r="16" spans="2:14" x14ac:dyDescent="0.2">
      <c r="B16" s="158"/>
      <c r="C16" s="50">
        <v>6</v>
      </c>
      <c r="D16" s="168"/>
      <c r="E16" s="134"/>
      <c r="F16" s="134"/>
      <c r="G16" s="134"/>
      <c r="H16" s="134"/>
      <c r="I16" s="52">
        <v>6</v>
      </c>
      <c r="J16" s="168"/>
      <c r="K16" s="134"/>
      <c r="L16" s="134"/>
      <c r="M16" s="134"/>
      <c r="N16" s="135"/>
    </row>
    <row r="17" spans="2:14" x14ac:dyDescent="0.2">
      <c r="B17" s="158"/>
      <c r="C17" s="50">
        <v>7</v>
      </c>
      <c r="D17" s="168"/>
      <c r="E17" s="134"/>
      <c r="F17" s="134"/>
      <c r="G17" s="134"/>
      <c r="H17" s="134"/>
      <c r="I17" s="52">
        <v>7</v>
      </c>
      <c r="J17" s="168"/>
      <c r="K17" s="134"/>
      <c r="L17" s="134"/>
      <c r="M17" s="134"/>
      <c r="N17" s="135"/>
    </row>
    <row r="18" spans="2:14" x14ac:dyDescent="0.2">
      <c r="B18" s="158"/>
      <c r="C18" s="50">
        <v>8</v>
      </c>
      <c r="D18" s="168"/>
      <c r="E18" s="134"/>
      <c r="F18" s="134"/>
      <c r="G18" s="134"/>
      <c r="H18" s="134"/>
      <c r="I18" s="52">
        <v>8</v>
      </c>
      <c r="J18" s="168"/>
      <c r="K18" s="134"/>
      <c r="L18" s="134"/>
      <c r="M18" s="134"/>
      <c r="N18" s="135"/>
    </row>
    <row r="19" spans="2:14" x14ac:dyDescent="0.2">
      <c r="B19" s="158"/>
      <c r="C19" s="50">
        <v>9</v>
      </c>
      <c r="D19" s="168"/>
      <c r="E19" s="134"/>
      <c r="F19" s="134"/>
      <c r="G19" s="134"/>
      <c r="H19" s="134"/>
      <c r="I19" s="52">
        <v>9</v>
      </c>
      <c r="J19" s="168"/>
      <c r="K19" s="134"/>
      <c r="L19" s="134"/>
      <c r="M19" s="134"/>
      <c r="N19" s="135"/>
    </row>
    <row r="20" spans="2:14" x14ac:dyDescent="0.2">
      <c r="B20" s="158"/>
      <c r="C20" s="50">
        <v>10</v>
      </c>
      <c r="D20" s="168"/>
      <c r="E20" s="134"/>
      <c r="F20" s="134"/>
      <c r="G20" s="134"/>
      <c r="H20" s="134"/>
      <c r="I20" s="52">
        <v>10</v>
      </c>
      <c r="J20" s="168"/>
      <c r="K20" s="134"/>
      <c r="L20" s="134"/>
      <c r="M20" s="134"/>
      <c r="N20" s="135"/>
    </row>
    <row r="21" spans="2:14" ht="12" customHeight="1" x14ac:dyDescent="0.2">
      <c r="B21" s="158"/>
      <c r="C21" s="185" t="s">
        <v>73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70" t="s">
        <v>76</v>
      </c>
    </row>
    <row r="22" spans="2:14" x14ac:dyDescent="0.2">
      <c r="B22" s="158"/>
      <c r="C22" s="185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70"/>
    </row>
    <row r="23" spans="2:14" x14ac:dyDescent="0.2">
      <c r="B23" s="158"/>
      <c r="C23" s="50">
        <v>1</v>
      </c>
      <c r="D23" s="168"/>
      <c r="E23" s="134"/>
      <c r="F23" s="134"/>
      <c r="G23" s="134"/>
      <c r="H23" s="134"/>
      <c r="I23" s="52">
        <v>1</v>
      </c>
      <c r="J23" s="168"/>
      <c r="K23" s="134"/>
      <c r="L23" s="134"/>
      <c r="M23" s="134"/>
      <c r="N23" s="135"/>
    </row>
    <row r="24" spans="2:14" x14ac:dyDescent="0.2">
      <c r="B24" s="158"/>
      <c r="C24" s="50">
        <v>2</v>
      </c>
      <c r="D24" s="168"/>
      <c r="E24" s="134"/>
      <c r="F24" s="134"/>
      <c r="G24" s="134"/>
      <c r="H24" s="134"/>
      <c r="I24" s="52">
        <v>2</v>
      </c>
      <c r="J24" s="168"/>
      <c r="K24" s="134"/>
      <c r="L24" s="134"/>
      <c r="M24" s="134"/>
      <c r="N24" s="135"/>
    </row>
    <row r="25" spans="2:14" x14ac:dyDescent="0.2">
      <c r="B25" s="158"/>
      <c r="C25" s="50">
        <v>3</v>
      </c>
      <c r="D25" s="168"/>
      <c r="E25" s="134"/>
      <c r="F25" s="134"/>
      <c r="G25" s="134"/>
      <c r="H25" s="134"/>
      <c r="I25" s="52">
        <v>3</v>
      </c>
      <c r="J25" s="168"/>
      <c r="K25" s="134"/>
      <c r="L25" s="134"/>
      <c r="M25" s="134"/>
      <c r="N25" s="135"/>
    </row>
    <row r="26" spans="2:14" x14ac:dyDescent="0.2">
      <c r="B26" s="158"/>
      <c r="C26" s="50">
        <v>4</v>
      </c>
      <c r="D26" s="168"/>
      <c r="E26" s="134"/>
      <c r="F26" s="134"/>
      <c r="G26" s="134"/>
      <c r="H26" s="134"/>
      <c r="I26" s="52">
        <v>4</v>
      </c>
      <c r="J26" s="168"/>
      <c r="K26" s="134"/>
      <c r="L26" s="134"/>
      <c r="M26" s="134"/>
      <c r="N26" s="135"/>
    </row>
    <row r="27" spans="2:14" x14ac:dyDescent="0.2">
      <c r="B27" s="158"/>
      <c r="C27" s="50">
        <v>5</v>
      </c>
      <c r="D27" s="168"/>
      <c r="E27" s="134"/>
      <c r="F27" s="134"/>
      <c r="G27" s="134"/>
      <c r="H27" s="134"/>
      <c r="I27" s="52">
        <v>5</v>
      </c>
      <c r="J27" s="168"/>
      <c r="K27" s="134"/>
      <c r="L27" s="134"/>
      <c r="M27" s="134"/>
      <c r="N27" s="135"/>
    </row>
    <row r="28" spans="2:14" x14ac:dyDescent="0.2">
      <c r="B28" s="158"/>
      <c r="C28" s="50">
        <v>6</v>
      </c>
      <c r="D28" s="168"/>
      <c r="E28" s="134"/>
      <c r="F28" s="134"/>
      <c r="G28" s="134"/>
      <c r="H28" s="134"/>
      <c r="I28" s="52">
        <v>6</v>
      </c>
      <c r="J28" s="168"/>
      <c r="K28" s="134"/>
      <c r="L28" s="134"/>
      <c r="M28" s="134"/>
      <c r="N28" s="135"/>
    </row>
    <row r="29" spans="2:14" x14ac:dyDescent="0.2">
      <c r="B29" s="158"/>
      <c r="C29" s="50">
        <v>7</v>
      </c>
      <c r="D29" s="168"/>
      <c r="E29" s="134"/>
      <c r="F29" s="134"/>
      <c r="G29" s="134"/>
      <c r="H29" s="134"/>
      <c r="I29" s="52">
        <v>7</v>
      </c>
      <c r="J29" s="168"/>
      <c r="K29" s="134"/>
      <c r="L29" s="134"/>
      <c r="M29" s="134"/>
      <c r="N29" s="135"/>
    </row>
    <row r="30" spans="2:14" x14ac:dyDescent="0.2">
      <c r="B30" s="158"/>
      <c r="C30" s="50">
        <v>8</v>
      </c>
      <c r="D30" s="168"/>
      <c r="E30" s="134"/>
      <c r="F30" s="134"/>
      <c r="G30" s="134"/>
      <c r="H30" s="134"/>
      <c r="I30" s="52">
        <v>8</v>
      </c>
      <c r="J30" s="168"/>
      <c r="K30" s="134"/>
      <c r="L30" s="134"/>
      <c r="M30" s="134"/>
      <c r="N30" s="135"/>
    </row>
    <row r="31" spans="2:14" x14ac:dyDescent="0.2">
      <c r="B31" s="158"/>
      <c r="C31" s="50">
        <v>9</v>
      </c>
      <c r="D31" s="168"/>
      <c r="E31" s="134"/>
      <c r="F31" s="134"/>
      <c r="G31" s="134"/>
      <c r="H31" s="134"/>
      <c r="I31" s="52">
        <v>9</v>
      </c>
      <c r="J31" s="168"/>
      <c r="K31" s="134"/>
      <c r="L31" s="134"/>
      <c r="M31" s="134"/>
      <c r="N31" s="135"/>
    </row>
    <row r="32" spans="2:14" ht="12.75" thickBot="1" x14ac:dyDescent="0.25">
      <c r="B32" s="159"/>
      <c r="C32" s="53">
        <v>10</v>
      </c>
      <c r="D32" s="169"/>
      <c r="E32" s="164"/>
      <c r="F32" s="164"/>
      <c r="G32" s="164"/>
      <c r="H32" s="164"/>
      <c r="I32" s="54">
        <v>10</v>
      </c>
      <c r="J32" s="169"/>
      <c r="K32" s="164"/>
      <c r="L32" s="164"/>
      <c r="M32" s="164"/>
      <c r="N32" s="165"/>
    </row>
    <row r="33" spans="2:14" ht="12.75" thickBot="1" x14ac:dyDescent="0.25">
      <c r="B33" s="45"/>
      <c r="C33" s="181"/>
      <c r="D33" s="182"/>
      <c r="E33" s="182"/>
      <c r="F33" s="182"/>
      <c r="G33" s="183"/>
      <c r="H33" s="174" t="s">
        <v>75</v>
      </c>
      <c r="I33" s="175"/>
      <c r="J33" s="181"/>
      <c r="K33" s="182"/>
      <c r="L33" s="182"/>
      <c r="M33" s="182"/>
      <c r="N33" s="184"/>
    </row>
    <row r="34" spans="2:14" x14ac:dyDescent="0.2">
      <c r="B34" s="143" t="s">
        <v>93</v>
      </c>
      <c r="C34" s="126"/>
      <c r="D34" s="126"/>
      <c r="E34" s="126"/>
      <c r="F34" s="126"/>
      <c r="G34" s="126"/>
      <c r="H34" s="144"/>
      <c r="I34" s="145" t="s">
        <v>94</v>
      </c>
      <c r="J34" s="126"/>
      <c r="K34" s="126"/>
      <c r="L34" s="126"/>
      <c r="M34" s="126"/>
      <c r="N34" s="146"/>
    </row>
    <row r="35" spans="2:14" s="4" customFormat="1" ht="28.9" customHeight="1" x14ac:dyDescent="0.25">
      <c r="B35" s="55" t="s">
        <v>89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7"/>
    </row>
    <row r="36" spans="2:14" s="4" customFormat="1" ht="28.9" customHeight="1" x14ac:dyDescent="0.25">
      <c r="B36" s="55" t="s">
        <v>90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7"/>
    </row>
    <row r="37" spans="2:14" s="4" customFormat="1" ht="28.9" customHeight="1" x14ac:dyDescent="0.25">
      <c r="B37" s="55" t="s">
        <v>91</v>
      </c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7"/>
    </row>
    <row r="38" spans="2:14" s="4" customFormat="1" ht="28.9" customHeight="1" thickBot="1" x14ac:dyDescent="0.3">
      <c r="B38" s="56" t="s">
        <v>92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9"/>
    </row>
    <row r="39" spans="2:14" x14ac:dyDescent="0.2">
      <c r="B39" s="143" t="s">
        <v>96</v>
      </c>
      <c r="C39" s="126"/>
      <c r="D39" s="126"/>
      <c r="E39" s="126"/>
      <c r="F39" s="126"/>
      <c r="G39" s="126"/>
      <c r="H39" s="144"/>
      <c r="I39" s="145" t="s">
        <v>97</v>
      </c>
      <c r="J39" s="126"/>
      <c r="K39" s="126"/>
      <c r="L39" s="126"/>
      <c r="M39" s="126"/>
      <c r="N39" s="146"/>
    </row>
    <row r="40" spans="2:14" s="4" customFormat="1" ht="39.75" customHeight="1" x14ac:dyDescent="0.25">
      <c r="B40" s="55" t="s">
        <v>89</v>
      </c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7"/>
    </row>
    <row r="41" spans="2:14" s="4" customFormat="1" ht="39.75" customHeight="1" x14ac:dyDescent="0.25">
      <c r="B41" s="55" t="s">
        <v>90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7"/>
    </row>
    <row r="42" spans="2:14" s="4" customFormat="1" ht="39.75" customHeight="1" x14ac:dyDescent="0.25">
      <c r="B42" s="55" t="s">
        <v>91</v>
      </c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7"/>
    </row>
    <row r="43" spans="2:14" s="4" customFormat="1" ht="39.75" customHeight="1" thickBot="1" x14ac:dyDescent="0.3">
      <c r="B43" s="56" t="s">
        <v>92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9"/>
    </row>
    <row r="44" spans="2:14" x14ac:dyDescent="0.2">
      <c r="B44" s="141" t="s">
        <v>100</v>
      </c>
      <c r="C44" s="140"/>
      <c r="D44" s="140"/>
      <c r="E44" s="140"/>
      <c r="F44" s="140"/>
      <c r="G44" s="140"/>
      <c r="H44" s="140" t="s">
        <v>98</v>
      </c>
      <c r="I44" s="140"/>
      <c r="J44" s="140" t="s">
        <v>99</v>
      </c>
      <c r="K44" s="140"/>
      <c r="L44" s="140"/>
      <c r="M44" s="140"/>
      <c r="N44" s="142"/>
    </row>
    <row r="45" spans="2:14" x14ac:dyDescent="0.2">
      <c r="B45" s="133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5"/>
    </row>
    <row r="46" spans="2:14" x14ac:dyDescent="0.2">
      <c r="B46" s="133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5"/>
    </row>
    <row r="47" spans="2:14" x14ac:dyDescent="0.2">
      <c r="B47" s="133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5"/>
    </row>
    <row r="48" spans="2:14" x14ac:dyDescent="0.2">
      <c r="B48" s="133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5"/>
    </row>
    <row r="49" spans="2:14" x14ac:dyDescent="0.2"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5"/>
    </row>
    <row r="50" spans="2:14" x14ac:dyDescent="0.2">
      <c r="B50" s="133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5"/>
    </row>
    <row r="51" spans="2:14" x14ac:dyDescent="0.2">
      <c r="B51" s="133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5"/>
    </row>
    <row r="52" spans="2:14" x14ac:dyDescent="0.2">
      <c r="B52" s="133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5"/>
    </row>
    <row r="53" spans="2:14" x14ac:dyDescent="0.2">
      <c r="B53" s="133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5"/>
    </row>
    <row r="54" spans="2:14" x14ac:dyDescent="0.2">
      <c r="B54" s="13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5"/>
    </row>
    <row r="55" spans="2:14" x14ac:dyDescent="0.2">
      <c r="B55" s="133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5"/>
    </row>
    <row r="56" spans="2:14" x14ac:dyDescent="0.2">
      <c r="B56" s="133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5"/>
    </row>
    <row r="57" spans="2:14" x14ac:dyDescent="0.2">
      <c r="B57" s="133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5"/>
    </row>
    <row r="58" spans="2:14" x14ac:dyDescent="0.2">
      <c r="B58" s="133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5"/>
    </row>
    <row r="59" spans="2:14" x14ac:dyDescent="0.2">
      <c r="B59" s="133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5"/>
    </row>
    <row r="60" spans="2:14" x14ac:dyDescent="0.2">
      <c r="B60" s="133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5"/>
    </row>
    <row r="61" spans="2:14" x14ac:dyDescent="0.2">
      <c r="B61" s="133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5"/>
    </row>
    <row r="62" spans="2:14" x14ac:dyDescent="0.2">
      <c r="B62" s="133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5"/>
    </row>
    <row r="63" spans="2:14" ht="12.75" thickBot="1" x14ac:dyDescent="0.25">
      <c r="B63" s="122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4"/>
    </row>
    <row r="64" spans="2:14" x14ac:dyDescent="0.2">
      <c r="B64" s="125" t="s">
        <v>101</v>
      </c>
      <c r="C64" s="126"/>
      <c r="D64" s="126"/>
      <c r="E64" s="129"/>
      <c r="F64" s="129"/>
      <c r="G64" s="129"/>
      <c r="H64" s="129"/>
      <c r="I64" s="129"/>
      <c r="J64" s="129"/>
      <c r="K64" s="129"/>
      <c r="L64" s="129"/>
      <c r="M64" s="129"/>
      <c r="N64" s="130"/>
    </row>
    <row r="65" spans="2:14" x14ac:dyDescent="0.2">
      <c r="B65" s="127" t="s">
        <v>102</v>
      </c>
      <c r="C65" s="128"/>
      <c r="D65" s="128"/>
      <c r="E65" s="131"/>
      <c r="F65" s="131"/>
      <c r="G65" s="131"/>
      <c r="H65" s="131"/>
      <c r="I65" s="131"/>
      <c r="J65" s="131"/>
      <c r="K65" s="131"/>
      <c r="L65" s="131"/>
      <c r="M65" s="131"/>
      <c r="N65" s="132"/>
    </row>
    <row r="66" spans="2:14" ht="12.75" thickBot="1" x14ac:dyDescent="0.25">
      <c r="B66" s="115" t="s">
        <v>103</v>
      </c>
      <c r="C66" s="116"/>
      <c r="D66" s="116"/>
      <c r="E66" s="117"/>
      <c r="F66" s="117"/>
      <c r="G66" s="117"/>
      <c r="H66" s="117"/>
      <c r="I66" s="117"/>
      <c r="J66" s="117"/>
      <c r="K66" s="117"/>
      <c r="L66" s="117"/>
      <c r="M66" s="117"/>
      <c r="N66" s="118"/>
    </row>
  </sheetData>
  <mergeCells count="159">
    <mergeCell ref="C10:G10"/>
    <mergeCell ref="J10:N10"/>
    <mergeCell ref="C33:G33"/>
    <mergeCell ref="J33:N33"/>
    <mergeCell ref="C21:C22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32:H32"/>
    <mergeCell ref="M8:N8"/>
    <mergeCell ref="M9:N9"/>
    <mergeCell ref="F6:K6"/>
    <mergeCell ref="F7:K7"/>
    <mergeCell ref="H10:I10"/>
    <mergeCell ref="H33:I33"/>
    <mergeCell ref="J11:N11"/>
    <mergeCell ref="J12:N12"/>
    <mergeCell ref="J13:N13"/>
    <mergeCell ref="J14:N14"/>
    <mergeCell ref="J15:N15"/>
    <mergeCell ref="J16:N16"/>
    <mergeCell ref="J17:N17"/>
    <mergeCell ref="D26:H26"/>
    <mergeCell ref="D27:H27"/>
    <mergeCell ref="D28:H28"/>
    <mergeCell ref="D29:H29"/>
    <mergeCell ref="D30:H30"/>
    <mergeCell ref="D31:H31"/>
    <mergeCell ref="D20:H20"/>
    <mergeCell ref="D23:H23"/>
    <mergeCell ref="D24:H24"/>
    <mergeCell ref="D25:H25"/>
    <mergeCell ref="J32:N32"/>
    <mergeCell ref="N21:N22"/>
    <mergeCell ref="J23:N23"/>
    <mergeCell ref="J24:N24"/>
    <mergeCell ref="J25:N25"/>
    <mergeCell ref="J26:N26"/>
    <mergeCell ref="J27:N27"/>
    <mergeCell ref="J28:N28"/>
    <mergeCell ref="J18:N18"/>
    <mergeCell ref="J19:N19"/>
    <mergeCell ref="J20:N20"/>
    <mergeCell ref="C4:D4"/>
    <mergeCell ref="E4:G4"/>
    <mergeCell ref="H4:I4"/>
    <mergeCell ref="J4:K4"/>
    <mergeCell ref="M4:N4"/>
    <mergeCell ref="C6:E6"/>
    <mergeCell ref="B3:N3"/>
    <mergeCell ref="B39:H39"/>
    <mergeCell ref="I39:N39"/>
    <mergeCell ref="B6:B9"/>
    <mergeCell ref="B11:B32"/>
    <mergeCell ref="C7:E7"/>
    <mergeCell ref="C8:E8"/>
    <mergeCell ref="C9:E9"/>
    <mergeCell ref="M6:N6"/>
    <mergeCell ref="M7:N7"/>
    <mergeCell ref="C5:D5"/>
    <mergeCell ref="F5:I5"/>
    <mergeCell ref="K5:N5"/>
    <mergeCell ref="F8:K8"/>
    <mergeCell ref="F9:K9"/>
    <mergeCell ref="J29:N29"/>
    <mergeCell ref="J30:N30"/>
    <mergeCell ref="J31:N31"/>
    <mergeCell ref="C40:H40"/>
    <mergeCell ref="I40:N40"/>
    <mergeCell ref="C41:H41"/>
    <mergeCell ref="I41:N41"/>
    <mergeCell ref="I35:N35"/>
    <mergeCell ref="I36:N36"/>
    <mergeCell ref="I37:N37"/>
    <mergeCell ref="I38:N38"/>
    <mergeCell ref="B34:H34"/>
    <mergeCell ref="I34:N34"/>
    <mergeCell ref="C35:H35"/>
    <mergeCell ref="C36:H36"/>
    <mergeCell ref="C37:H37"/>
    <mergeCell ref="C38:H38"/>
    <mergeCell ref="B45:G45"/>
    <mergeCell ref="H45:I45"/>
    <mergeCell ref="J45:N45"/>
    <mergeCell ref="B46:G46"/>
    <mergeCell ref="H46:I46"/>
    <mergeCell ref="J46:N46"/>
    <mergeCell ref="C42:H42"/>
    <mergeCell ref="I42:N42"/>
    <mergeCell ref="C43:H43"/>
    <mergeCell ref="I43:N43"/>
    <mergeCell ref="H44:I44"/>
    <mergeCell ref="B44:G44"/>
    <mergeCell ref="J44:N44"/>
    <mergeCell ref="B49:G49"/>
    <mergeCell ref="H49:I49"/>
    <mergeCell ref="J49:N49"/>
    <mergeCell ref="B50:G50"/>
    <mergeCell ref="H50:I50"/>
    <mergeCell ref="J50:N50"/>
    <mergeCell ref="B47:G47"/>
    <mergeCell ref="H47:I47"/>
    <mergeCell ref="J47:N47"/>
    <mergeCell ref="B48:G48"/>
    <mergeCell ref="H48:I48"/>
    <mergeCell ref="J48:N48"/>
    <mergeCell ref="B53:G53"/>
    <mergeCell ref="H53:I53"/>
    <mergeCell ref="J53:N53"/>
    <mergeCell ref="B54:G54"/>
    <mergeCell ref="H54:I54"/>
    <mergeCell ref="J54:N54"/>
    <mergeCell ref="B51:G51"/>
    <mergeCell ref="H51:I51"/>
    <mergeCell ref="J51:N51"/>
    <mergeCell ref="B52:G52"/>
    <mergeCell ref="H52:I52"/>
    <mergeCell ref="J52:N52"/>
    <mergeCell ref="H57:I57"/>
    <mergeCell ref="J57:N57"/>
    <mergeCell ref="B58:G58"/>
    <mergeCell ref="H58:I58"/>
    <mergeCell ref="J58:N58"/>
    <mergeCell ref="B55:G55"/>
    <mergeCell ref="H55:I55"/>
    <mergeCell ref="J55:N55"/>
    <mergeCell ref="B56:G56"/>
    <mergeCell ref="H56:I56"/>
    <mergeCell ref="J56:N56"/>
    <mergeCell ref="B66:D66"/>
    <mergeCell ref="E66:N66"/>
    <mergeCell ref="D21:M22"/>
    <mergeCell ref="B4:B5"/>
    <mergeCell ref="B63:G63"/>
    <mergeCell ref="H63:I63"/>
    <mergeCell ref="J63:N63"/>
    <mergeCell ref="B64:D64"/>
    <mergeCell ref="B65:D65"/>
    <mergeCell ref="E64:N64"/>
    <mergeCell ref="E65:N65"/>
    <mergeCell ref="B61:G61"/>
    <mergeCell ref="H61:I61"/>
    <mergeCell ref="J61:N61"/>
    <mergeCell ref="B62:G62"/>
    <mergeCell ref="H62:I62"/>
    <mergeCell ref="J62:N62"/>
    <mergeCell ref="B59:G59"/>
    <mergeCell ref="H59:I59"/>
    <mergeCell ref="J59:N59"/>
    <mergeCell ref="B60:G60"/>
    <mergeCell ref="H60:I60"/>
    <mergeCell ref="J60:N60"/>
    <mergeCell ref="B57:G57"/>
  </mergeCells>
  <pageMargins left="0.7" right="0.7" top="0.75" bottom="0.75" header="0.3" footer="0.3"/>
  <pageSetup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7D7C-9357-4C34-9C12-31108CEED721}">
  <dimension ref="B2:J11"/>
  <sheetViews>
    <sheetView zoomScaleNormal="100" workbookViewId="0">
      <selection activeCell="F7" sqref="F7"/>
    </sheetView>
  </sheetViews>
  <sheetFormatPr defaultColWidth="8.85546875" defaultRowHeight="12" x14ac:dyDescent="0.2"/>
  <cols>
    <col min="1" max="10" width="13.28515625" style="1" customWidth="1"/>
    <col min="11" max="16384" width="8.85546875" style="1"/>
  </cols>
  <sheetData>
    <row r="2" spans="2:10" ht="12.75" thickBot="1" x14ac:dyDescent="0.25"/>
    <row r="3" spans="2:10" ht="37.15" customHeight="1" x14ac:dyDescent="0.2">
      <c r="B3" s="14"/>
      <c r="C3" s="15"/>
      <c r="D3" s="16"/>
      <c r="E3" s="17"/>
      <c r="F3" s="15"/>
      <c r="G3" s="18"/>
      <c r="H3" s="14"/>
      <c r="I3" s="15"/>
      <c r="J3" s="16"/>
    </row>
    <row r="4" spans="2:10" ht="37.15" customHeight="1" x14ac:dyDescent="0.2">
      <c r="B4" s="19"/>
      <c r="C4" s="20"/>
      <c r="D4" s="21"/>
      <c r="E4" s="22"/>
      <c r="F4" s="20"/>
      <c r="G4" s="23"/>
      <c r="H4" s="19"/>
      <c r="I4" s="20"/>
      <c r="J4" s="21"/>
    </row>
    <row r="5" spans="2:10" ht="37.15" customHeight="1" thickBot="1" x14ac:dyDescent="0.25">
      <c r="B5" s="24"/>
      <c r="C5" s="25"/>
      <c r="D5" s="26"/>
      <c r="E5" s="27"/>
      <c r="F5" s="28"/>
      <c r="G5" s="29"/>
      <c r="H5" s="24"/>
      <c r="I5" s="25"/>
      <c r="J5" s="26"/>
    </row>
    <row r="6" spans="2:10" ht="37.15" customHeight="1" thickBot="1" x14ac:dyDescent="0.25">
      <c r="B6" s="30"/>
      <c r="C6" s="31"/>
      <c r="D6" s="32"/>
      <c r="E6" s="60"/>
      <c r="F6" s="60"/>
      <c r="G6" s="60"/>
      <c r="H6" s="33"/>
      <c r="I6" s="31"/>
      <c r="J6" s="34"/>
    </row>
    <row r="7" spans="2:10" ht="37.15" customHeight="1" thickBot="1" x14ac:dyDescent="0.25">
      <c r="B7" s="19"/>
      <c r="C7" s="20"/>
      <c r="D7" s="23"/>
      <c r="E7" s="60"/>
      <c r="F7" s="60"/>
      <c r="G7" s="62"/>
      <c r="H7" s="22"/>
      <c r="I7" s="20"/>
      <c r="J7" s="21"/>
    </row>
    <row r="8" spans="2:10" ht="37.15" customHeight="1" thickBot="1" x14ac:dyDescent="0.25">
      <c r="B8" s="35"/>
      <c r="C8" s="28"/>
      <c r="D8" s="29"/>
      <c r="E8" s="60"/>
      <c r="F8" s="61"/>
      <c r="G8" s="60"/>
      <c r="H8" s="27"/>
      <c r="I8" s="28"/>
      <c r="J8" s="36"/>
    </row>
    <row r="9" spans="2:10" ht="37.15" customHeight="1" x14ac:dyDescent="0.2">
      <c r="B9" s="14"/>
      <c r="C9" s="15"/>
      <c r="D9" s="16"/>
      <c r="E9" s="33"/>
      <c r="F9" s="31"/>
      <c r="G9" s="32"/>
      <c r="H9" s="14"/>
      <c r="I9" s="15"/>
      <c r="J9" s="16"/>
    </row>
    <row r="10" spans="2:10" ht="37.15" customHeight="1" x14ac:dyDescent="0.2">
      <c r="B10" s="19"/>
      <c r="C10" s="20"/>
      <c r="D10" s="21"/>
      <c r="E10" s="22"/>
      <c r="F10" s="20"/>
      <c r="G10" s="23"/>
      <c r="H10" s="19"/>
      <c r="I10" s="20"/>
      <c r="J10" s="21"/>
    </row>
    <row r="11" spans="2:10" ht="37.15" customHeight="1" thickBot="1" x14ac:dyDescent="0.25">
      <c r="B11" s="24"/>
      <c r="C11" s="25"/>
      <c r="D11" s="26"/>
      <c r="E11" s="37"/>
      <c r="F11" s="25"/>
      <c r="G11" s="38"/>
      <c r="H11" s="24"/>
      <c r="I11" s="25"/>
      <c r="J11" s="2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67AA-DCEF-4235-BC88-455FDD107892}">
  <dimension ref="B1:BO15"/>
  <sheetViews>
    <sheetView workbookViewId="0">
      <pane xSplit="7" ySplit="3" topLeftCell="H4" activePane="bottomRight" state="frozen"/>
      <selection pane="topRight" activeCell="H1" sqref="H1"/>
      <selection pane="bottomLeft" activeCell="A3" sqref="A3"/>
      <selection pane="bottomRight" activeCell="E4" sqref="E4"/>
    </sheetView>
  </sheetViews>
  <sheetFormatPr defaultColWidth="8.85546875" defaultRowHeight="11.25" x14ac:dyDescent="0.2"/>
  <cols>
    <col min="1" max="2" width="3.28515625" style="57" customWidth="1"/>
    <col min="3" max="3" width="4.28515625" style="57" customWidth="1"/>
    <col min="4" max="4" width="26.140625" style="57" customWidth="1"/>
    <col min="5" max="5" width="29.28515625" style="57" customWidth="1"/>
    <col min="6" max="7" width="6.5703125" style="57" customWidth="1"/>
    <col min="8" max="72" width="3.28515625" style="57" customWidth="1"/>
    <col min="73" max="16384" width="8.85546875" style="57"/>
  </cols>
  <sheetData>
    <row r="1" spans="2:67" ht="12" thickBot="1" x14ac:dyDescent="0.25"/>
    <row r="2" spans="2:67" ht="16.5" thickBot="1" x14ac:dyDescent="0.3">
      <c r="B2" s="192" t="s">
        <v>112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4"/>
    </row>
    <row r="3" spans="2:67" s="58" customFormat="1" ht="28.9" customHeight="1" thickBot="1" x14ac:dyDescent="0.25">
      <c r="B3" s="190"/>
      <c r="C3" s="191"/>
      <c r="D3" s="86" t="s">
        <v>111</v>
      </c>
      <c r="E3" s="86" t="s">
        <v>110</v>
      </c>
      <c r="F3" s="83" t="s">
        <v>108</v>
      </c>
      <c r="G3" s="84" t="s">
        <v>109</v>
      </c>
      <c r="H3" s="85">
        <v>1</v>
      </c>
      <c r="I3" s="83">
        <v>2</v>
      </c>
      <c r="J3" s="83">
        <v>3</v>
      </c>
      <c r="K3" s="83">
        <v>4</v>
      </c>
      <c r="L3" s="83">
        <v>5</v>
      </c>
      <c r="M3" s="83">
        <v>6</v>
      </c>
      <c r="N3" s="83">
        <v>7</v>
      </c>
      <c r="O3" s="83">
        <v>8</v>
      </c>
      <c r="P3" s="83">
        <v>9</v>
      </c>
      <c r="Q3" s="83">
        <v>10</v>
      </c>
      <c r="R3" s="83">
        <v>11</v>
      </c>
      <c r="S3" s="83">
        <v>12</v>
      </c>
      <c r="T3" s="83">
        <v>13</v>
      </c>
      <c r="U3" s="83">
        <v>14</v>
      </c>
      <c r="V3" s="83">
        <v>15</v>
      </c>
      <c r="W3" s="83">
        <v>16</v>
      </c>
      <c r="X3" s="83">
        <v>17</v>
      </c>
      <c r="Y3" s="83">
        <v>18</v>
      </c>
      <c r="Z3" s="83">
        <v>19</v>
      </c>
      <c r="AA3" s="83">
        <v>20</v>
      </c>
      <c r="AB3" s="83">
        <v>21</v>
      </c>
      <c r="AC3" s="83">
        <v>22</v>
      </c>
      <c r="AD3" s="83">
        <v>23</v>
      </c>
      <c r="AE3" s="83">
        <v>24</v>
      </c>
      <c r="AF3" s="83">
        <v>25</v>
      </c>
      <c r="AG3" s="83">
        <v>26</v>
      </c>
      <c r="AH3" s="83">
        <v>27</v>
      </c>
      <c r="AI3" s="83">
        <v>28</v>
      </c>
      <c r="AJ3" s="83">
        <v>29</v>
      </c>
      <c r="AK3" s="83">
        <v>30</v>
      </c>
      <c r="AL3" s="83">
        <v>31</v>
      </c>
      <c r="AM3" s="83">
        <v>32</v>
      </c>
      <c r="AN3" s="83">
        <v>33</v>
      </c>
      <c r="AO3" s="83">
        <v>34</v>
      </c>
      <c r="AP3" s="83">
        <v>35</v>
      </c>
      <c r="AQ3" s="83">
        <v>36</v>
      </c>
      <c r="AR3" s="83">
        <v>37</v>
      </c>
      <c r="AS3" s="83">
        <v>38</v>
      </c>
      <c r="AT3" s="83">
        <v>39</v>
      </c>
      <c r="AU3" s="83">
        <v>40</v>
      </c>
      <c r="AV3" s="83">
        <v>41</v>
      </c>
      <c r="AW3" s="83">
        <v>42</v>
      </c>
      <c r="AX3" s="83">
        <v>43</v>
      </c>
      <c r="AY3" s="83">
        <v>44</v>
      </c>
      <c r="AZ3" s="83">
        <v>45</v>
      </c>
      <c r="BA3" s="83">
        <v>46</v>
      </c>
      <c r="BB3" s="83">
        <v>47</v>
      </c>
      <c r="BC3" s="83">
        <v>48</v>
      </c>
      <c r="BD3" s="83">
        <v>49</v>
      </c>
      <c r="BE3" s="83">
        <v>50</v>
      </c>
      <c r="BF3" s="83">
        <v>51</v>
      </c>
      <c r="BG3" s="83">
        <v>52</v>
      </c>
      <c r="BH3" s="83">
        <v>53</v>
      </c>
      <c r="BI3" s="83">
        <v>54</v>
      </c>
      <c r="BJ3" s="83">
        <v>55</v>
      </c>
      <c r="BK3" s="83">
        <v>56</v>
      </c>
      <c r="BL3" s="83">
        <v>57</v>
      </c>
      <c r="BM3" s="83">
        <v>58</v>
      </c>
      <c r="BN3" s="83">
        <v>59</v>
      </c>
      <c r="BO3" s="84">
        <v>60</v>
      </c>
    </row>
    <row r="4" spans="2:67" ht="28.9" customHeight="1" x14ac:dyDescent="0.2">
      <c r="B4" s="186" t="s">
        <v>106</v>
      </c>
      <c r="C4" s="87" t="s">
        <v>104</v>
      </c>
      <c r="D4" s="72"/>
      <c r="E4" s="72"/>
      <c r="F4" s="92">
        <f>COUNT(H4:BO4)</f>
        <v>0</v>
      </c>
      <c r="G4" s="96">
        <f>SUM(H4:BO4)</f>
        <v>0</v>
      </c>
      <c r="H4" s="78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4"/>
    </row>
    <row r="5" spans="2:67" ht="28.9" customHeight="1" thickBot="1" x14ac:dyDescent="0.25">
      <c r="B5" s="187"/>
      <c r="C5" s="88" t="s">
        <v>105</v>
      </c>
      <c r="D5" s="75"/>
      <c r="E5" s="75"/>
      <c r="F5" s="93">
        <f t="shared" ref="F5:F15" si="0">COUNT(H5:BO5)</f>
        <v>0</v>
      </c>
      <c r="G5" s="97">
        <f t="shared" ref="G5:G15" si="1">SUM(H5:BO5)</f>
        <v>0</v>
      </c>
      <c r="H5" s="79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7"/>
    </row>
    <row r="6" spans="2:67" s="59" customFormat="1" ht="28.9" customHeight="1" x14ac:dyDescent="0.25">
      <c r="B6" s="188" t="s">
        <v>107</v>
      </c>
      <c r="C6" s="89">
        <v>1</v>
      </c>
      <c r="D6" s="69"/>
      <c r="E6" s="69"/>
      <c r="F6" s="94">
        <f t="shared" si="0"/>
        <v>0</v>
      </c>
      <c r="G6" s="98">
        <f t="shared" si="1"/>
        <v>0</v>
      </c>
      <c r="H6" s="8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1"/>
    </row>
    <row r="7" spans="2:67" s="59" customFormat="1" ht="28.9" customHeight="1" x14ac:dyDescent="0.25">
      <c r="B7" s="189"/>
      <c r="C7" s="90">
        <v>2</v>
      </c>
      <c r="D7" s="63"/>
      <c r="E7" s="63"/>
      <c r="F7" s="95">
        <f t="shared" si="0"/>
        <v>0</v>
      </c>
      <c r="G7" s="99">
        <f t="shared" si="1"/>
        <v>0</v>
      </c>
      <c r="H7" s="81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5"/>
    </row>
    <row r="8" spans="2:67" s="59" customFormat="1" ht="28.9" customHeight="1" x14ac:dyDescent="0.25">
      <c r="B8" s="189"/>
      <c r="C8" s="90">
        <v>3</v>
      </c>
      <c r="D8" s="63"/>
      <c r="E8" s="63"/>
      <c r="F8" s="95">
        <f t="shared" si="0"/>
        <v>0</v>
      </c>
      <c r="G8" s="99">
        <f t="shared" si="1"/>
        <v>0</v>
      </c>
      <c r="H8" s="81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5"/>
    </row>
    <row r="9" spans="2:67" s="59" customFormat="1" ht="28.9" customHeight="1" x14ac:dyDescent="0.25">
      <c r="B9" s="189"/>
      <c r="C9" s="90">
        <v>4</v>
      </c>
      <c r="D9" s="63"/>
      <c r="E9" s="63"/>
      <c r="F9" s="95">
        <f t="shared" si="0"/>
        <v>0</v>
      </c>
      <c r="G9" s="99">
        <f t="shared" si="1"/>
        <v>0</v>
      </c>
      <c r="H9" s="81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5"/>
    </row>
    <row r="10" spans="2:67" s="59" customFormat="1" ht="28.9" customHeight="1" x14ac:dyDescent="0.25">
      <c r="B10" s="189"/>
      <c r="C10" s="90">
        <v>5</v>
      </c>
      <c r="D10" s="63"/>
      <c r="E10" s="63"/>
      <c r="F10" s="95">
        <f t="shared" si="0"/>
        <v>0</v>
      </c>
      <c r="G10" s="99">
        <f t="shared" si="1"/>
        <v>0</v>
      </c>
      <c r="H10" s="81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5"/>
    </row>
    <row r="11" spans="2:67" s="59" customFormat="1" ht="28.9" customHeight="1" x14ac:dyDescent="0.25">
      <c r="B11" s="189"/>
      <c r="C11" s="90">
        <v>6</v>
      </c>
      <c r="D11" s="63"/>
      <c r="E11" s="63"/>
      <c r="F11" s="95">
        <f t="shared" si="0"/>
        <v>0</v>
      </c>
      <c r="G11" s="99">
        <f t="shared" si="1"/>
        <v>0</v>
      </c>
      <c r="H11" s="81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5"/>
    </row>
    <row r="12" spans="2:67" s="59" customFormat="1" ht="28.9" customHeight="1" x14ac:dyDescent="0.25">
      <c r="B12" s="189"/>
      <c r="C12" s="90">
        <v>7</v>
      </c>
      <c r="D12" s="63"/>
      <c r="E12" s="63"/>
      <c r="F12" s="95">
        <f t="shared" si="0"/>
        <v>0</v>
      </c>
      <c r="G12" s="99">
        <f t="shared" si="1"/>
        <v>0</v>
      </c>
      <c r="H12" s="81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5"/>
    </row>
    <row r="13" spans="2:67" s="59" customFormat="1" ht="28.9" customHeight="1" x14ac:dyDescent="0.25">
      <c r="B13" s="189"/>
      <c r="C13" s="90">
        <v>8</v>
      </c>
      <c r="D13" s="63"/>
      <c r="E13" s="63"/>
      <c r="F13" s="95">
        <f t="shared" si="0"/>
        <v>0</v>
      </c>
      <c r="G13" s="99">
        <f t="shared" si="1"/>
        <v>0</v>
      </c>
      <c r="H13" s="81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5"/>
    </row>
    <row r="14" spans="2:67" s="59" customFormat="1" ht="28.9" customHeight="1" x14ac:dyDescent="0.25">
      <c r="B14" s="189"/>
      <c r="C14" s="90">
        <v>9</v>
      </c>
      <c r="D14" s="63"/>
      <c r="E14" s="63"/>
      <c r="F14" s="95">
        <f t="shared" si="0"/>
        <v>0</v>
      </c>
      <c r="G14" s="99">
        <f t="shared" si="1"/>
        <v>0</v>
      </c>
      <c r="H14" s="81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5"/>
    </row>
    <row r="15" spans="2:67" s="59" customFormat="1" ht="28.9" customHeight="1" thickBot="1" x14ac:dyDescent="0.3">
      <c r="B15" s="187"/>
      <c r="C15" s="91">
        <v>10</v>
      </c>
      <c r="D15" s="66"/>
      <c r="E15" s="66"/>
      <c r="F15" s="93">
        <f t="shared" si="0"/>
        <v>0</v>
      </c>
      <c r="G15" s="97">
        <f t="shared" si="1"/>
        <v>0</v>
      </c>
      <c r="H15" s="82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8"/>
    </row>
  </sheetData>
  <mergeCells count="4">
    <mergeCell ref="B4:B5"/>
    <mergeCell ref="B6:B15"/>
    <mergeCell ref="B3:C3"/>
    <mergeCell ref="B2:BO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EE7A-A02A-4F50-8E32-BE03BA5A5F2F}">
  <sheetPr>
    <pageSetUpPr fitToPage="1"/>
  </sheetPr>
  <dimension ref="B1:H58"/>
  <sheetViews>
    <sheetView workbookViewId="0">
      <selection activeCell="C24" sqref="C24"/>
    </sheetView>
  </sheetViews>
  <sheetFormatPr defaultColWidth="8.85546875" defaultRowHeight="12" x14ac:dyDescent="0.2"/>
  <cols>
    <col min="1" max="1" width="3.5703125" style="1" customWidth="1"/>
    <col min="2" max="2" width="8.85546875" style="3"/>
    <col min="3" max="4" width="30.85546875" style="1" customWidth="1"/>
    <col min="5" max="5" width="9.42578125" style="1" customWidth="1"/>
    <col min="6" max="6" width="17" style="1" customWidth="1"/>
    <col min="7" max="7" width="6.28515625" style="1" customWidth="1"/>
    <col min="8" max="8" width="16.28515625" style="1" customWidth="1"/>
    <col min="9" max="16384" width="8.85546875" style="1"/>
  </cols>
  <sheetData>
    <row r="1" spans="2:8" ht="12.75" thickBot="1" x14ac:dyDescent="0.25"/>
    <row r="2" spans="2:8" ht="15.75" x14ac:dyDescent="0.25">
      <c r="B2" s="102">
        <v>2024</v>
      </c>
      <c r="C2" s="205" t="s">
        <v>118</v>
      </c>
      <c r="D2" s="205"/>
      <c r="E2" s="205"/>
      <c r="F2" s="205"/>
      <c r="G2" s="205"/>
      <c r="H2" s="206"/>
    </row>
    <row r="3" spans="2:8" ht="12.75" thickBot="1" x14ac:dyDescent="0.25">
      <c r="B3" s="105">
        <v>46009</v>
      </c>
      <c r="C3" s="106" t="s">
        <v>117</v>
      </c>
      <c r="D3" s="123" t="s">
        <v>135</v>
      </c>
      <c r="E3" s="123"/>
      <c r="F3" s="123"/>
      <c r="G3" s="123"/>
      <c r="H3" s="124"/>
    </row>
    <row r="4" spans="2:8" x14ac:dyDescent="0.2">
      <c r="B4" s="46" t="s">
        <v>113</v>
      </c>
      <c r="C4" s="47" t="s">
        <v>114</v>
      </c>
      <c r="D4" s="48" t="s">
        <v>115</v>
      </c>
      <c r="E4" s="125" t="s">
        <v>116</v>
      </c>
      <c r="F4" s="126"/>
      <c r="G4" s="126"/>
      <c r="H4" s="146"/>
    </row>
    <row r="5" spans="2:8" x14ac:dyDescent="0.2">
      <c r="B5" s="207">
        <v>0.25</v>
      </c>
      <c r="C5" s="100"/>
      <c r="D5" s="103"/>
      <c r="E5" s="198" t="s">
        <v>136</v>
      </c>
      <c r="F5" s="131"/>
      <c r="G5" s="131"/>
      <c r="H5" s="132"/>
    </row>
    <row r="6" spans="2:8" x14ac:dyDescent="0.2">
      <c r="B6" s="207"/>
      <c r="C6" s="101"/>
      <c r="D6" s="107"/>
      <c r="E6" s="198" t="s">
        <v>137</v>
      </c>
      <c r="F6" s="131"/>
      <c r="G6" s="131"/>
      <c r="H6" s="132"/>
    </row>
    <row r="7" spans="2:8" x14ac:dyDescent="0.2">
      <c r="B7" s="207">
        <v>0.27083333333333331</v>
      </c>
      <c r="C7" s="100"/>
      <c r="D7" s="103"/>
      <c r="E7" s="198"/>
      <c r="F7" s="131"/>
      <c r="G7" s="131"/>
      <c r="H7" s="132"/>
    </row>
    <row r="8" spans="2:8" x14ac:dyDescent="0.2">
      <c r="B8" s="207"/>
      <c r="C8" s="101"/>
      <c r="D8" s="107"/>
      <c r="E8" s="198"/>
      <c r="F8" s="131"/>
      <c r="G8" s="131"/>
      <c r="H8" s="132"/>
    </row>
    <row r="9" spans="2:8" ht="12.75" thickBot="1" x14ac:dyDescent="0.25">
      <c r="B9" s="207">
        <v>0.29166666666666702</v>
      </c>
      <c r="C9" s="100"/>
      <c r="D9" s="103"/>
      <c r="E9" s="202"/>
      <c r="F9" s="117"/>
      <c r="G9" s="117"/>
      <c r="H9" s="118"/>
    </row>
    <row r="10" spans="2:8" x14ac:dyDescent="0.2">
      <c r="B10" s="207"/>
      <c r="C10" s="101"/>
      <c r="D10" s="107"/>
      <c r="E10" s="125" t="s">
        <v>119</v>
      </c>
      <c r="F10" s="126"/>
      <c r="G10" s="126"/>
      <c r="H10" s="146"/>
    </row>
    <row r="11" spans="2:8" x14ac:dyDescent="0.2">
      <c r="B11" s="207">
        <v>0.3125</v>
      </c>
      <c r="C11" s="100"/>
      <c r="D11" s="103"/>
      <c r="E11" s="198"/>
      <c r="F11" s="131"/>
      <c r="G11" s="131"/>
      <c r="H11" s="132"/>
    </row>
    <row r="12" spans="2:8" x14ac:dyDescent="0.2">
      <c r="B12" s="207"/>
      <c r="C12" s="101"/>
      <c r="D12" s="107"/>
      <c r="E12" s="198"/>
      <c r="F12" s="131"/>
      <c r="G12" s="131"/>
      <c r="H12" s="132"/>
    </row>
    <row r="13" spans="2:8" x14ac:dyDescent="0.2">
      <c r="B13" s="207">
        <v>0.33333333333333298</v>
      </c>
      <c r="C13" s="100"/>
      <c r="D13" s="103"/>
      <c r="E13" s="198"/>
      <c r="F13" s="131"/>
      <c r="G13" s="131"/>
      <c r="H13" s="132"/>
    </row>
    <row r="14" spans="2:8" x14ac:dyDescent="0.2">
      <c r="B14" s="207"/>
      <c r="C14" s="101"/>
      <c r="D14" s="107"/>
      <c r="E14" s="198"/>
      <c r="F14" s="131"/>
      <c r="G14" s="131"/>
      <c r="H14" s="132"/>
    </row>
    <row r="15" spans="2:8" x14ac:dyDescent="0.2">
      <c r="B15" s="207">
        <v>0.35416666666666702</v>
      </c>
      <c r="C15" s="100"/>
      <c r="D15" s="103"/>
      <c r="E15" s="198"/>
      <c r="F15" s="131"/>
      <c r="G15" s="131"/>
      <c r="H15" s="132"/>
    </row>
    <row r="16" spans="2:8" x14ac:dyDescent="0.2">
      <c r="B16" s="207"/>
      <c r="C16" s="101"/>
      <c r="D16" s="107"/>
      <c r="E16" s="198"/>
      <c r="F16" s="131"/>
      <c r="G16" s="131"/>
      <c r="H16" s="132"/>
    </row>
    <row r="17" spans="2:8" x14ac:dyDescent="0.2">
      <c r="B17" s="207">
        <v>0.375</v>
      </c>
      <c r="C17" s="100"/>
      <c r="D17" s="103"/>
      <c r="E17" s="198"/>
      <c r="F17" s="131"/>
      <c r="G17" s="131"/>
      <c r="H17" s="132"/>
    </row>
    <row r="18" spans="2:8" x14ac:dyDescent="0.2">
      <c r="B18" s="207"/>
      <c r="C18" s="101"/>
      <c r="D18" s="107"/>
      <c r="E18" s="198"/>
      <c r="F18" s="131"/>
      <c r="G18" s="131"/>
      <c r="H18" s="132"/>
    </row>
    <row r="19" spans="2:8" x14ac:dyDescent="0.2">
      <c r="B19" s="207">
        <v>0.39583333333333298</v>
      </c>
      <c r="C19" s="100"/>
      <c r="D19" s="103"/>
      <c r="E19" s="198"/>
      <c r="F19" s="131"/>
      <c r="G19" s="131"/>
      <c r="H19" s="132"/>
    </row>
    <row r="20" spans="2:8" x14ac:dyDescent="0.2">
      <c r="B20" s="207"/>
      <c r="C20" s="101" t="s">
        <v>134</v>
      </c>
      <c r="D20" s="107" t="s">
        <v>141</v>
      </c>
      <c r="E20" s="198"/>
      <c r="F20" s="131"/>
      <c r="G20" s="131"/>
      <c r="H20" s="132"/>
    </row>
    <row r="21" spans="2:8" x14ac:dyDescent="0.2">
      <c r="B21" s="207">
        <v>0.41666666666666702</v>
      </c>
      <c r="C21" s="100" t="s">
        <v>139</v>
      </c>
      <c r="D21" s="103"/>
      <c r="E21" s="198"/>
      <c r="F21" s="131"/>
      <c r="G21" s="131"/>
      <c r="H21" s="132"/>
    </row>
    <row r="22" spans="2:8" x14ac:dyDescent="0.2">
      <c r="B22" s="207"/>
      <c r="C22" s="101" t="s">
        <v>139</v>
      </c>
      <c r="D22" s="107"/>
      <c r="E22" s="198"/>
      <c r="F22" s="131"/>
      <c r="G22" s="131"/>
      <c r="H22" s="132"/>
    </row>
    <row r="23" spans="2:8" ht="12.75" thickBot="1" x14ac:dyDescent="0.25">
      <c r="B23" s="207">
        <v>0.4375</v>
      </c>
      <c r="C23" s="100" t="s">
        <v>140</v>
      </c>
      <c r="D23" s="103"/>
      <c r="E23" s="202"/>
      <c r="F23" s="117"/>
      <c r="G23" s="117"/>
      <c r="H23" s="118"/>
    </row>
    <row r="24" spans="2:8" x14ac:dyDescent="0.2">
      <c r="B24" s="207"/>
      <c r="C24" s="101"/>
      <c r="D24" s="107"/>
      <c r="E24" s="46" t="s">
        <v>120</v>
      </c>
      <c r="F24" s="47" t="s">
        <v>121</v>
      </c>
      <c r="G24" s="47" t="s">
        <v>122</v>
      </c>
      <c r="H24" s="48" t="s">
        <v>123</v>
      </c>
    </row>
    <row r="25" spans="2:8" x14ac:dyDescent="0.2">
      <c r="B25" s="207">
        <v>0.45833333333333298</v>
      </c>
      <c r="C25" s="100"/>
      <c r="D25" s="103"/>
      <c r="E25" s="44" t="s">
        <v>124</v>
      </c>
      <c r="F25" s="100"/>
      <c r="G25" s="39">
        <v>2</v>
      </c>
      <c r="H25" s="103"/>
    </row>
    <row r="26" spans="2:8" x14ac:dyDescent="0.2">
      <c r="B26" s="207"/>
      <c r="C26" s="101"/>
      <c r="D26" s="107"/>
      <c r="E26" s="44" t="s">
        <v>89</v>
      </c>
      <c r="F26" s="100"/>
      <c r="G26" s="39">
        <v>1</v>
      </c>
      <c r="H26" s="103" t="s">
        <v>142</v>
      </c>
    </row>
    <row r="27" spans="2:8" x14ac:dyDescent="0.2">
      <c r="B27" s="207">
        <v>0.47916666666666602</v>
      </c>
      <c r="C27" s="100"/>
      <c r="D27" s="103"/>
      <c r="E27" s="44" t="s">
        <v>125</v>
      </c>
      <c r="F27" s="100"/>
      <c r="G27" s="39">
        <v>3</v>
      </c>
      <c r="H27" s="103" t="s">
        <v>143</v>
      </c>
    </row>
    <row r="28" spans="2:8" x14ac:dyDescent="0.2">
      <c r="B28" s="207"/>
      <c r="C28" s="101"/>
      <c r="D28" s="107"/>
      <c r="E28" s="44" t="s">
        <v>126</v>
      </c>
      <c r="F28" s="100"/>
      <c r="G28" s="39">
        <v>4</v>
      </c>
      <c r="H28" s="103" t="s">
        <v>144</v>
      </c>
    </row>
    <row r="29" spans="2:8" x14ac:dyDescent="0.2">
      <c r="B29" s="207">
        <v>0.5</v>
      </c>
      <c r="C29" s="100"/>
      <c r="D29" s="103"/>
      <c r="E29" s="44" t="s">
        <v>127</v>
      </c>
      <c r="F29" s="100"/>
      <c r="G29" s="39">
        <v>1</v>
      </c>
      <c r="H29" s="103"/>
    </row>
    <row r="30" spans="2:8" x14ac:dyDescent="0.2">
      <c r="B30" s="207"/>
      <c r="C30" s="101"/>
      <c r="D30" s="107"/>
      <c r="E30" s="44" t="s">
        <v>92</v>
      </c>
      <c r="F30" s="100"/>
      <c r="G30" s="39">
        <v>1</v>
      </c>
      <c r="H30" s="103"/>
    </row>
    <row r="31" spans="2:8" x14ac:dyDescent="0.2">
      <c r="B31" s="207">
        <v>0.52083333333333337</v>
      </c>
      <c r="C31" s="100"/>
      <c r="D31" s="103"/>
      <c r="E31" s="44" t="s">
        <v>128</v>
      </c>
      <c r="F31" s="100"/>
      <c r="G31" s="39">
        <v>5</v>
      </c>
      <c r="H31" s="103"/>
    </row>
    <row r="32" spans="2:8" x14ac:dyDescent="0.2">
      <c r="B32" s="207"/>
      <c r="C32" s="101"/>
      <c r="D32" s="107"/>
      <c r="E32" s="44" t="s">
        <v>107</v>
      </c>
      <c r="F32" s="100"/>
      <c r="G32" s="39">
        <v>1</v>
      </c>
      <c r="H32" s="103"/>
    </row>
    <row r="33" spans="2:8" ht="12.75" thickBot="1" x14ac:dyDescent="0.25">
      <c r="B33" s="207">
        <v>0.54166666666666596</v>
      </c>
      <c r="C33" s="100" t="s">
        <v>138</v>
      </c>
      <c r="D33" s="103"/>
      <c r="E33" s="203" t="s">
        <v>129</v>
      </c>
      <c r="F33" s="204"/>
      <c r="G33" s="40">
        <f>SUM(G25:G32)</f>
        <v>18</v>
      </c>
      <c r="H33" s="109"/>
    </row>
    <row r="34" spans="2:8" x14ac:dyDescent="0.2">
      <c r="B34" s="207"/>
      <c r="C34" s="101"/>
      <c r="D34" s="107"/>
      <c r="E34" s="125" t="s">
        <v>130</v>
      </c>
      <c r="F34" s="126"/>
      <c r="G34" s="126"/>
      <c r="H34" s="146"/>
    </row>
    <row r="35" spans="2:8" x14ac:dyDescent="0.2">
      <c r="B35" s="207">
        <v>0.5625</v>
      </c>
      <c r="C35" s="100"/>
      <c r="D35" s="103"/>
      <c r="E35" s="198" t="s">
        <v>145</v>
      </c>
      <c r="F35" s="131"/>
      <c r="G35" s="131"/>
      <c r="H35" s="132"/>
    </row>
    <row r="36" spans="2:8" x14ac:dyDescent="0.2">
      <c r="B36" s="207"/>
      <c r="C36" s="101"/>
      <c r="D36" s="107"/>
      <c r="E36" s="195" t="s">
        <v>146</v>
      </c>
      <c r="F36" s="196"/>
      <c r="G36" s="196"/>
      <c r="H36" s="197"/>
    </row>
    <row r="37" spans="2:8" x14ac:dyDescent="0.2">
      <c r="B37" s="207">
        <v>0.58333333333333304</v>
      </c>
      <c r="C37" s="100"/>
      <c r="D37" s="103"/>
      <c r="E37" s="198"/>
      <c r="F37" s="131"/>
      <c r="G37" s="131"/>
      <c r="H37" s="132"/>
    </row>
    <row r="38" spans="2:8" x14ac:dyDescent="0.2">
      <c r="B38" s="207"/>
      <c r="C38" s="101"/>
      <c r="D38" s="107"/>
      <c r="E38" s="195"/>
      <c r="F38" s="196"/>
      <c r="G38" s="196"/>
      <c r="H38" s="197"/>
    </row>
    <row r="39" spans="2:8" ht="12.75" thickBot="1" x14ac:dyDescent="0.25">
      <c r="B39" s="207">
        <v>0.60416666666666596</v>
      </c>
      <c r="C39" s="100"/>
      <c r="D39" s="103"/>
      <c r="E39" s="202"/>
      <c r="F39" s="117"/>
      <c r="G39" s="117"/>
      <c r="H39" s="118"/>
    </row>
    <row r="40" spans="2:8" x14ac:dyDescent="0.2">
      <c r="B40" s="207"/>
      <c r="C40" s="101"/>
      <c r="D40" s="107"/>
      <c r="E40" s="125" t="s">
        <v>131</v>
      </c>
      <c r="F40" s="126"/>
      <c r="G40" s="126"/>
      <c r="H40" s="146"/>
    </row>
    <row r="41" spans="2:8" x14ac:dyDescent="0.2">
      <c r="B41" s="207">
        <v>0.625</v>
      </c>
      <c r="C41" s="100"/>
      <c r="D41" s="103"/>
      <c r="E41" s="198" t="s">
        <v>147</v>
      </c>
      <c r="F41" s="131"/>
      <c r="G41" s="131"/>
      <c r="H41" s="132"/>
    </row>
    <row r="42" spans="2:8" x14ac:dyDescent="0.2">
      <c r="B42" s="207"/>
      <c r="C42" s="101"/>
      <c r="D42" s="107"/>
      <c r="E42" s="195"/>
      <c r="F42" s="196"/>
      <c r="G42" s="196"/>
      <c r="H42" s="197"/>
    </row>
    <row r="43" spans="2:8" x14ac:dyDescent="0.2">
      <c r="B43" s="207">
        <v>0.64583333333333304</v>
      </c>
      <c r="C43" s="100"/>
      <c r="D43" s="103"/>
      <c r="E43" s="198"/>
      <c r="F43" s="131"/>
      <c r="G43" s="131"/>
      <c r="H43" s="132"/>
    </row>
    <row r="44" spans="2:8" x14ac:dyDescent="0.2">
      <c r="B44" s="207"/>
      <c r="C44" s="101"/>
      <c r="D44" s="107"/>
      <c r="E44" s="195"/>
      <c r="F44" s="196"/>
      <c r="G44" s="196"/>
      <c r="H44" s="197"/>
    </row>
    <row r="45" spans="2:8" ht="12.75" thickBot="1" x14ac:dyDescent="0.25">
      <c r="B45" s="207">
        <v>0.66666666666666596</v>
      </c>
      <c r="C45" s="100"/>
      <c r="D45" s="103"/>
      <c r="E45" s="202"/>
      <c r="F45" s="117"/>
      <c r="G45" s="117"/>
      <c r="H45" s="118"/>
    </row>
    <row r="46" spans="2:8" x14ac:dyDescent="0.2">
      <c r="B46" s="207"/>
      <c r="C46" s="101"/>
      <c r="D46" s="107"/>
      <c r="E46" s="125" t="s">
        <v>132</v>
      </c>
      <c r="F46" s="126"/>
      <c r="G46" s="126"/>
      <c r="H46" s="146"/>
    </row>
    <row r="47" spans="2:8" x14ac:dyDescent="0.2">
      <c r="B47" s="207">
        <v>0.6875</v>
      </c>
      <c r="C47" s="100"/>
      <c r="D47" s="103"/>
      <c r="E47" s="133"/>
      <c r="F47" s="134"/>
      <c r="G47" s="134"/>
      <c r="H47" s="135"/>
    </row>
    <row r="48" spans="2:8" x14ac:dyDescent="0.2">
      <c r="B48" s="207"/>
      <c r="C48" s="101"/>
      <c r="D48" s="107"/>
      <c r="E48" s="195"/>
      <c r="F48" s="196"/>
      <c r="G48" s="196"/>
      <c r="H48" s="197"/>
    </row>
    <row r="49" spans="2:8" x14ac:dyDescent="0.2">
      <c r="B49" s="207">
        <v>0.70833333333333304</v>
      </c>
      <c r="C49" s="100"/>
      <c r="D49" s="103"/>
      <c r="E49" s="198"/>
      <c r="F49" s="131"/>
      <c r="G49" s="131"/>
      <c r="H49" s="132"/>
    </row>
    <row r="50" spans="2:8" x14ac:dyDescent="0.2">
      <c r="B50" s="207"/>
      <c r="C50" s="101"/>
      <c r="D50" s="107"/>
      <c r="E50" s="195"/>
      <c r="F50" s="196"/>
      <c r="G50" s="196"/>
      <c r="H50" s="197"/>
    </row>
    <row r="51" spans="2:8" ht="12.75" thickBot="1" x14ac:dyDescent="0.25">
      <c r="B51" s="207">
        <v>0.72916666666666596</v>
      </c>
      <c r="C51" s="100"/>
      <c r="D51" s="103"/>
      <c r="E51" s="202"/>
      <c r="F51" s="117"/>
      <c r="G51" s="117"/>
      <c r="H51" s="118"/>
    </row>
    <row r="52" spans="2:8" x14ac:dyDescent="0.2">
      <c r="B52" s="207"/>
      <c r="C52" s="101"/>
      <c r="D52" s="107"/>
      <c r="E52" s="141" t="s">
        <v>133</v>
      </c>
      <c r="F52" s="140"/>
      <c r="G52" s="140"/>
      <c r="H52" s="142"/>
    </row>
    <row r="53" spans="2:8" x14ac:dyDescent="0.2">
      <c r="B53" s="207">
        <v>0.75</v>
      </c>
      <c r="C53" s="100"/>
      <c r="D53" s="103"/>
      <c r="E53" s="133"/>
      <c r="F53" s="134"/>
      <c r="G53" s="134"/>
      <c r="H53" s="135"/>
    </row>
    <row r="54" spans="2:8" x14ac:dyDescent="0.2">
      <c r="B54" s="207"/>
      <c r="C54" s="101"/>
      <c r="D54" s="107"/>
      <c r="E54" s="195"/>
      <c r="F54" s="196"/>
      <c r="G54" s="196"/>
      <c r="H54" s="197"/>
    </row>
    <row r="55" spans="2:8" x14ac:dyDescent="0.2">
      <c r="B55" s="207">
        <v>0.77083333333333304</v>
      </c>
      <c r="C55" s="100"/>
      <c r="D55" s="103"/>
      <c r="E55" s="198"/>
      <c r="F55" s="131"/>
      <c r="G55" s="131"/>
      <c r="H55" s="132"/>
    </row>
    <row r="56" spans="2:8" x14ac:dyDescent="0.2">
      <c r="B56" s="207"/>
      <c r="C56" s="101"/>
      <c r="D56" s="107"/>
      <c r="E56" s="195"/>
      <c r="F56" s="196"/>
      <c r="G56" s="196"/>
      <c r="H56" s="197"/>
    </row>
    <row r="57" spans="2:8" x14ac:dyDescent="0.2">
      <c r="B57" s="207">
        <v>0.79166666666666596</v>
      </c>
      <c r="C57" s="100"/>
      <c r="D57" s="103"/>
      <c r="E57" s="198"/>
      <c r="F57" s="131"/>
      <c r="G57" s="131"/>
      <c r="H57" s="132"/>
    </row>
    <row r="58" spans="2:8" ht="12.75" thickBot="1" x14ac:dyDescent="0.25">
      <c r="B58" s="208"/>
      <c r="C58" s="104"/>
      <c r="D58" s="108"/>
      <c r="E58" s="199"/>
      <c r="F58" s="200"/>
      <c r="G58" s="200"/>
      <c r="H58" s="201"/>
    </row>
  </sheetData>
  <mergeCells count="75">
    <mergeCell ref="B25:B26"/>
    <mergeCell ref="B15:B16"/>
    <mergeCell ref="B17:B18"/>
    <mergeCell ref="B19:B20"/>
    <mergeCell ref="B21:B22"/>
    <mergeCell ref="B23:B24"/>
    <mergeCell ref="B5:B6"/>
    <mergeCell ref="B7:B8"/>
    <mergeCell ref="B9:B10"/>
    <mergeCell ref="B11:B12"/>
    <mergeCell ref="B13:B14"/>
    <mergeCell ref="B33:B34"/>
    <mergeCell ref="B35:B36"/>
    <mergeCell ref="B37:B38"/>
    <mergeCell ref="B39:B40"/>
    <mergeCell ref="B27:B28"/>
    <mergeCell ref="B53:B54"/>
    <mergeCell ref="B55:B56"/>
    <mergeCell ref="B57:B58"/>
    <mergeCell ref="E4:H4"/>
    <mergeCell ref="E10:H10"/>
    <mergeCell ref="E11:H11"/>
    <mergeCell ref="E12:H12"/>
    <mergeCell ref="E13:H13"/>
    <mergeCell ref="B41:B42"/>
    <mergeCell ref="B43:B44"/>
    <mergeCell ref="B45:B46"/>
    <mergeCell ref="B47:B48"/>
    <mergeCell ref="B49:B50"/>
    <mergeCell ref="B51:B52"/>
    <mergeCell ref="B29:B30"/>
    <mergeCell ref="B31:B32"/>
    <mergeCell ref="E19:H19"/>
    <mergeCell ref="C2:H2"/>
    <mergeCell ref="E5:H5"/>
    <mergeCell ref="E6:H6"/>
    <mergeCell ref="E7:H7"/>
    <mergeCell ref="E8:H8"/>
    <mergeCell ref="D3:H3"/>
    <mergeCell ref="E9:H9"/>
    <mergeCell ref="E14:H14"/>
    <mergeCell ref="E15:H15"/>
    <mergeCell ref="E16:H16"/>
    <mergeCell ref="E17:H17"/>
    <mergeCell ref="E18:H18"/>
    <mergeCell ref="E44:H44"/>
    <mergeCell ref="E45:H45"/>
    <mergeCell ref="E46:H46"/>
    <mergeCell ref="E47:H47"/>
    <mergeCell ref="E20:H20"/>
    <mergeCell ref="E21:H21"/>
    <mergeCell ref="E22:H22"/>
    <mergeCell ref="E23:H23"/>
    <mergeCell ref="E43:H43"/>
    <mergeCell ref="E34:H34"/>
    <mergeCell ref="E35:H35"/>
    <mergeCell ref="E36:H36"/>
    <mergeCell ref="E37:H37"/>
    <mergeCell ref="E38:H38"/>
    <mergeCell ref="E39:H39"/>
    <mergeCell ref="E40:H40"/>
    <mergeCell ref="E33:F33"/>
    <mergeCell ref="E41:H41"/>
    <mergeCell ref="E42:H42"/>
    <mergeCell ref="E48:H48"/>
    <mergeCell ref="E56:H56"/>
    <mergeCell ref="E57:H57"/>
    <mergeCell ref="E58:H58"/>
    <mergeCell ref="E50:H50"/>
    <mergeCell ref="E51:H51"/>
    <mergeCell ref="E52:H52"/>
    <mergeCell ref="E53:H53"/>
    <mergeCell ref="E54:H54"/>
    <mergeCell ref="E55:H55"/>
    <mergeCell ref="E49:H49"/>
  </mergeCells>
  <pageMargins left="0.7" right="0.7" top="0.75" bottom="0.75" header="0.3" footer="0.3"/>
  <pageSetup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One - Questionnaire</vt:lpstr>
      <vt:lpstr>Sheet Two - Scoring</vt:lpstr>
      <vt:lpstr>Sheet Three - Long Term Goals</vt:lpstr>
      <vt:lpstr>Sheet Four - 64-Window</vt:lpstr>
      <vt:lpstr>Sheet Five - Routine Check</vt:lpstr>
      <vt:lpstr>Sheet Six - Daily Diary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Wolters</dc:creator>
  <cp:lastModifiedBy>Eric Wolters</cp:lastModifiedBy>
  <cp:lastPrinted>2025-05-24T21:03:02Z</cp:lastPrinted>
  <dcterms:created xsi:type="dcterms:W3CDTF">2024-03-27T15:11:37Z</dcterms:created>
  <dcterms:modified xsi:type="dcterms:W3CDTF">2026-01-01T23:38:25Z</dcterms:modified>
</cp:coreProperties>
</file>